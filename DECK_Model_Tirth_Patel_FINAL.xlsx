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come Statement" sheetId="2" state="visible" r:id="rId4"/>
    <sheet name="Balance Sheet" sheetId="3" state="visible" r:id="rId5"/>
    <sheet name="Cash Flow" sheetId="4" state="visible" r:id="rId6"/>
    <sheet name="DC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<sst xmlns="http://schemas.openxmlformats.org/spreadsheetml/2006/main" count="185" uniqueCount="161">
  <si>
    <t xml:space="preserve">DECKERS OUTDOOR (DECK) — MODEL ASSUMPTIONS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</si>
  <si>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</si>
  <si>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</si>
  <si>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</si>
  <si>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</si>
  <si>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</si>
  <si>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</si>
  <si>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REVENUE ASSUMPTIONS</t>
  </si>
  <si>
    <t xml:space="preserve">Revenue Growth % (YoY)</t>
  </si>
  <si>
    <t xml:space="preserve">  HOKA Revenue ($K)</t>
  </si>
  <si>
    <t xml:space="preserve">  UGG Revenue ($K)</t>
  </si>
  <si>
    <t xml:space="preserve">  Other Brands ($K)</t>
  </si>
  <si>
    <t xml:space="preserve">MARGIN ASSUMPTIONS</t>
  </si>
  <si>
    <t xml:space="preserve">Gross Margin %</t>
  </si>
  <si>
    <t xml:space="preserve">SG&amp;A % of Revenue</t>
  </si>
  <si>
    <t xml:space="preserve">EBIT Margin %</t>
  </si>
  <si>
    <t xml:space="preserve">Effective Tax Rate %</t>
  </si>
  <si>
    <t xml:space="preserve">WORKING CAPITAL ASSUMPTIONS (days)</t>
  </si>
  <si>
    <t xml:space="preserve">Days Sales Outstanding (DSO)</t>
  </si>
  <si>
    <t xml:space="preserve">Days Inventory Outstanding (DIO)</t>
  </si>
  <si>
    <t xml:space="preserve">Days Payable Outstanding (DPO)</t>
  </si>
  <si>
    <t xml:space="preserve">CAPEX &amp; D&amp;A</t>
  </si>
  <si>
    <t xml:space="preserve">Capex % of Revenue</t>
  </si>
  <si>
    <t xml:space="preserve">D&amp;A % of Revenue</t>
  </si>
  <si>
    <t xml:space="preserve">DCF ASSUMPTIONS</t>
  </si>
  <si>
    <t xml:space="preserve">WACC</t>
  </si>
  <si>
    <t xml:space="preserve">Terminal Growth Rate</t>
  </si>
  <si>
    <t xml:space="preserve">Shares Outstanding (K)</t>
  </si>
  <si>
    <t xml:space="preserve">Net Cash ($K)</t>
  </si>
  <si>
    <t xml:space="preserve">Beta (5-yr monthly)</t>
  </si>
  <si>
    <t xml:space="preserve">Risk-Free Rate</t>
  </si>
  <si>
    <t xml:space="preserve">Equity Risk Premium</t>
  </si>
  <si>
    <t xml:space="preserve">Cost of Debt</t>
  </si>
  <si>
    <t xml:space="preserve">Yellow cells = change these to run scenarios. Historical ratios computed from exact 10-K filings (FY2023-2025).</t>
  </si>
  <si>
    <t xml:space="preserve">DECKERS OUTDOOR (DECK) — INCOME STATEMENT  ($000s, fiscal year ends March 31)</t>
  </si>
  <si>
    <t xml:space="preserve">REVENUE</t>
  </si>
  <si>
    <t xml:space="preserve">Net Revenue</t>
  </si>
  <si>
    <t xml:space="preserve">COST &amp; MARGIN</t>
  </si>
  <si>
    <t xml:space="preserve">Cost of Sales</t>
  </si>
  <si>
    <t xml:space="preserve">Gross Profit</t>
  </si>
  <si>
    <t xml:space="preserve">  Gross Margin %</t>
  </si>
  <si>
    <t xml:space="preserve">OPERATING EXPENSES</t>
  </si>
  <si>
    <t xml:space="preserve">SG&amp;A Expenses</t>
  </si>
  <si>
    <t xml:space="preserve">  SG&amp;A % of Revenue</t>
  </si>
  <si>
    <t xml:space="preserve">EBIT (Operating Income)</t>
  </si>
  <si>
    <t xml:space="preserve">  EBIT Margin %</t>
  </si>
  <si>
    <t xml:space="preserve">BELOW THE LINE</t>
  </si>
  <si>
    <t xml:space="preserve">Interest Income</t>
  </si>
  <si>
    <t xml:space="preserve">Interest Expense</t>
  </si>
  <si>
    <t xml:space="preserve">Pre-Tax Income</t>
  </si>
  <si>
    <t xml:space="preserve">Income Tax Expense</t>
  </si>
  <si>
    <t xml:space="preserve">  Effective Tax Rate %</t>
  </si>
  <si>
    <t xml:space="preserve">Net Income</t>
  </si>
  <si>
    <t xml:space="preserve">  Net Margin %</t>
  </si>
  <si>
    <t xml:space="preserve">EBITDA BRIDGE</t>
  </si>
  <si>
    <t xml:space="preserve">D&amp;A (from CF statement)</t>
  </si>
  <si>
    <t xml:space="preserve">EBITDA</t>
  </si>
  <si>
    <t xml:space="preserve">  EBITDA Margin %</t>
  </si>
  <si>
    <t xml:space="preserve">Historical figures from Deckers 10-K filings (FY2023: March 2023, FY2024: March 2024, FY2025: March 2025). D&amp;A from cash flow statement (non-cash add-back line).</t>
  </si>
  <si>
    <t xml:space="preserve">DECKERS OUTDOOR (DECK) — BALANCE SHEET  ($000s, as of March 31)</t>
  </si>
  <si>
    <t xml:space="preserve">ASSETS</t>
  </si>
  <si>
    <t xml:space="preserve">Current Assets</t>
  </si>
  <si>
    <t xml:space="preserve">  Cash &amp; Equivalents</t>
  </si>
  <si>
    <t xml:space="preserve">  Trade Accounts Receivable, net</t>
  </si>
  <si>
    <t xml:space="preserve">  Inventories</t>
  </si>
  <si>
    <t xml:space="preserve">  Prepaid Expenses</t>
  </si>
  <si>
    <t xml:space="preserve">  Other Current Assets</t>
  </si>
  <si>
    <t xml:space="preserve">  Income Tax Receivable</t>
  </si>
  <si>
    <t xml:space="preserve">Total Current Assets</t>
  </si>
  <si>
    <t xml:space="preserve">Property &amp; Equipment, net</t>
  </si>
  <si>
    <t xml:space="preserve">Operating Lease Assets</t>
  </si>
  <si>
    <t xml:space="preserve">Goodwill</t>
  </si>
  <si>
    <t xml:space="preserve">Other Intangible Assets, net</t>
  </si>
  <si>
    <t xml:space="preserve">Deferred Tax Assets, net</t>
  </si>
  <si>
    <t xml:space="preserve">Other Assets</t>
  </si>
  <si>
    <t xml:space="preserve">Total Assets</t>
  </si>
  <si>
    <t xml:space="preserve">LIABILITIES &amp; STOCKHOLDERS EQUITY</t>
  </si>
  <si>
    <t xml:space="preserve">Current Liabilities</t>
  </si>
  <si>
    <t xml:space="preserve">  Trade Accounts Payable</t>
  </si>
  <si>
    <t xml:space="preserve">  Accrued Payroll</t>
  </si>
  <si>
    <t xml:space="preserve">  Operating Lease Liabilities</t>
  </si>
  <si>
    <t xml:space="preserve">  Other Accrued Expenses</t>
  </si>
  <si>
    <t xml:space="preserve">  Income Tax Payable</t>
  </si>
  <si>
    <t xml:space="preserve">  Value Added Tax Payable</t>
  </si>
  <si>
    <t xml:space="preserve">Total Current Liabilities</t>
  </si>
  <si>
    <t xml:space="preserve">Long-Term Operating Lease Liab.</t>
  </si>
  <si>
    <t xml:space="preserve">Income Tax Liability (LT)</t>
  </si>
  <si>
    <t xml:space="preserve">Other Long-Term Liabilities</t>
  </si>
  <si>
    <t xml:space="preserve">Total Long-Term Liabilities</t>
  </si>
  <si>
    <t xml:space="preserve">Total Liabilities</t>
  </si>
  <si>
    <t xml:space="preserve">Common Stock</t>
  </si>
  <si>
    <t xml:space="preserve">Additional Paid-In Capital</t>
  </si>
  <si>
    <t xml:space="preserve">Retained Earnings</t>
  </si>
  <si>
    <t xml:space="preserve">AOCI</t>
  </si>
  <si>
    <t xml:space="preserve">Total Stockholders Equity</t>
  </si>
  <si>
    <t xml:space="preserve">Total Liabilities &amp; Equity</t>
  </si>
  <si>
    <t xml:space="preserve">CHECK: BS Balances (must = 0)</t>
  </si>
  <si>
    <t xml:space="preserve">FY2023 from FY2024 10-K comparative column. FY2024 and FY2025 from respective 10-K filings. CHECK row must equal 0.</t>
  </si>
  <si>
    <t xml:space="preserve">DECKERS OUTDOOR (DECK) — CASH FLOW STATEMENT  ($000s)</t>
  </si>
  <si>
    <t xml:space="preserve">OPERATING ACTIVITIES</t>
  </si>
  <si>
    <t xml:space="preserve">  + Depreciation &amp; Amortization</t>
  </si>
  <si>
    <t xml:space="preserve">  + Stock-Based Compensation</t>
  </si>
  <si>
    <t xml:space="preserve">  + Other Non-Cash Items</t>
  </si>
  <si>
    <t xml:space="preserve">  - Change in Trade Receivables</t>
  </si>
  <si>
    <t xml:space="preserve">  - Change in Inventories</t>
  </si>
  <si>
    <t xml:space="preserve">  +/- Change in Prepaid &amp; Other</t>
  </si>
  <si>
    <t xml:space="preserve">  + Change in Trade Payables</t>
  </si>
  <si>
    <t xml:space="preserve">  +/- Change in Other Accrued</t>
  </si>
  <si>
    <t xml:space="preserve">  +/- Change in Tax Payable</t>
  </si>
  <si>
    <t xml:space="preserve">  +/- Other Operating</t>
  </si>
  <si>
    <t xml:space="preserve">Cash from Operations</t>
  </si>
  <si>
    <t xml:space="preserve">INVESTING ACTIVITIES</t>
  </si>
  <si>
    <t xml:space="preserve">  Capital Expenditures</t>
  </si>
  <si>
    <t xml:space="preserve">  Proceeds from Asset Sales</t>
  </si>
  <si>
    <t xml:space="preserve">Cash from Investing</t>
  </si>
  <si>
    <t xml:space="preserve">FINANCING ACTIVITIES</t>
  </si>
  <si>
    <t xml:space="preserve">  Share Repurchases</t>
  </si>
  <si>
    <t xml:space="preserve">  Stock Issuance &amp; Options</t>
  </si>
  <si>
    <t xml:space="preserve">  Other Financing</t>
  </si>
  <si>
    <t xml:space="preserve">Cash from Financing</t>
  </si>
  <si>
    <t xml:space="preserve">FX Effect on Cash</t>
  </si>
  <si>
    <t xml:space="preserve">NET CHANGE &amp; RECONCILIATION</t>
  </si>
  <si>
    <t xml:space="preserve">Net Change in Cash</t>
  </si>
  <si>
    <t xml:space="preserve">Beginning Cash</t>
  </si>
  <si>
    <t xml:space="preserve">Ending Cash</t>
  </si>
  <si>
    <t xml:space="preserve">FREE CASH FLOW</t>
  </si>
  <si>
    <t xml:space="preserve">FCF (Cash from Ops - Capex)</t>
  </si>
  <si>
    <t xml:space="preserve">  FCF Margin %</t>
  </si>
  <si>
    <t xml:space="preserve">FCF Conversion (FCF / NI)</t>
  </si>
  <si>
    <t xml:space="preserve">FY2025 from DECK FY2025 annual report p.F-8. FY2024 and FY2023 from FY2024 10-K p.F-8. FCF = CFO - Capex.</t>
  </si>
  <si>
    <t xml:space="preserve">DECKERS OUTDOOR (DECK) — DCF VALUATION</t>
  </si>
  <si>
    <t xml:space="preserve">STEP 1 — UNLEVERED FREE CASH FLOW</t>
  </si>
  <si>
    <t xml:space="preserve">Revenue</t>
  </si>
  <si>
    <t xml:space="preserve">EBIT</t>
  </si>
  <si>
    <t xml:space="preserve">Tax Rate %</t>
  </si>
  <si>
    <t xml:space="preserve">NOPAT = EBIT × (1 − t)</t>
  </si>
  <si>
    <t xml:space="preserve">+ D&amp;A</t>
  </si>
  <si>
    <t xml:space="preserve">− Capex</t>
  </si>
  <si>
    <t xml:space="preserve">− Δ Net Working Capital</t>
  </si>
  <si>
    <t xml:space="preserve">Unlevered FCF</t>
  </si>
  <si>
    <t xml:space="preserve">Discount Period</t>
  </si>
  <si>
    <t xml:space="preserve">Discount Factor (÷WACC=10%)</t>
  </si>
  <si>
    <t xml:space="preserve">PV of Unlevered FCF</t>
  </si>
  <si>
    <t xml:space="preserve">STEP 2 — TERMINAL VALUE &amp; ENTERPRISE VALUE</t>
  </si>
  <si>
    <t xml:space="preserve">Sum of PV of FCFs ($K)</t>
  </si>
  <si>
    <t xml:space="preserve">Terminal Year FCF ($K)</t>
  </si>
  <si>
    <t xml:space="preserve">Terminal Value = TV FCF×(1+g)/(WACC−g)</t>
  </si>
  <si>
    <t xml:space="preserve">PV of Terminal Value ($K)</t>
  </si>
  <si>
    <t xml:space="preserve">Enterprise Value ($K)</t>
  </si>
  <si>
    <t xml:space="preserve">STEP 3 — BRIDGE TO EQUITY VALUE</t>
  </si>
  <si>
    <t xml:space="preserve">+ Cash &amp; Equivalents ($K)</t>
  </si>
  <si>
    <t xml:space="preserve">− Total Debt ($K)</t>
  </si>
  <si>
    <t xml:space="preserve">− Other Long-Term Liabilities ($K)</t>
  </si>
  <si>
    <t xml:space="preserve">Equity Value ($K)</t>
  </si>
  <si>
    <t xml:space="preserve">Implied Share Price</t>
  </si>
  <si>
    <t xml:space="preserve">Current Share Price (verify live)</t>
  </si>
  <si>
    <t xml:space="preserve">Upside / (Downside) %</t>
  </si>
  <si>
    <t xml:space="preserve">STEP 4 — SENSITIVITY: IMPLIED SHARE PRICE vs WACC &amp; TERMINAL GROWTH</t>
  </si>
  <si>
    <t xml:space="preserve">Terminal Growth Rate →</t>
  </si>
  <si>
    <t xml:space="preserve">WACC ↓</t>
  </si>
  <si>
    <t xml:space="preserve">WACC: CAPM = Rf(4.5%) + β(1.15) × ERP(5.0%) = 10.25%, rounded to 10.0%. No LT debt so WACC ≈ cost of equity. Net cash = $1,889M cash − $0 debt = $1,889M net cash position (debt-free as of FY2025). TV = FCF×(1+g)/(WACC−g). Sensitivity shows how sensitive implied price is to key assumptions.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</si>
</sst>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#,##0"/>
    <numFmt numFmtId="167" formatCode="0"/>
    <numFmt numFmtId="168" formatCode="0.00"/>
    <numFmt numFmtId="169" formatCode="0.00\x"/>
    <numFmt numFmtId="170" formatCode="0.0000"/>
    <numFmt numFmtId="171" formatCode="\$#,##0.00"/>
    <numFmt numFmtId="172" formatCode="\$#,##0"/>
  </numFmts>
  <fonts count="1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libri"/>
      <family val="0"/>
    </font>
    <font>
      <b val="true"/>
      <sz val="10"/>
      <color theme="1"/>
      <name val="Calibri"/>
      <family val="0"/>
    </font>
    <font>
      <b val="true"/>
      <sz val="10"/>
      <color theme="1"/>
      <name val="Calibri"/>
      <family val="0"/>
    </font>
    <font>
      <b val="true"/>
      <sz val="10"/>
      <color theme="1"/>
      <name val="Calibri"/>
      <family val="0"/>
    </font>
    <font>
      <i val="true"/>
      <sz val="8"/>
      <color theme="1"/>
      <name val="Calibri"/>
      <family val="0"/>
    </font>
    <font>
      <sz val="10"/>
      <color theme="1"/>
      <name val="Calibri"/>
      <family val="0"/>
    </font>
    <font>
      <sz val="10"/>
      <color theme="1"/>
      <name val="Calibri"/>
      <family val="0"/>
    </font>
    <font>
      <b val="true"/>
      <sz val="10"/>
      <color theme="1"/>
      <name val="Calibri"/>
      <family val="0"/>
    </font>
    <font>
      <b val="true"/>
      <sz val="10"/>
      <color theme="1"/>
      <name val="Calibri"/>
      <family val="0"/>
    </font>
    <font>
      <b val="true"/>
      <sz val="10"/>
      <color theme="1"/>
      <name val="Calibri"/>
      <family val="0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70C0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1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/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</row>
    <row r="3" customFormat="false" ht="15" hidden="false" customHeight="true" outlineLevel="0" collapsed="false">
      <c r="A3" s="5" t="s">
        <v>7</v>
      </c>
      <c r="B3" s="5"/>
      <c r="C3" s="5"/>
      <c r="D3" s="5"/>
      <c r="E3" s="5"/>
      <c r="F3" s="5"/>
      <c r="G3" s="5"/>
      <c r="H3" s="5"/>
    </row>
    <row r="4" customFormat="false" ht="13.8" hidden="false" customHeight="false" outlineLevel="0" collapsed="false">
      <c r="A4" s="6" t="s">
        <v>8</v>
      </c>
      <c r="B4" s="7"/>
      <c r="C4" s="8" t="n">
        <v>0.1822</v>
      </c>
      <c r="D4" s="8" t="n">
        <v>0.1628</v>
      </c>
      <c r="E4" s="9" t="n">
        <v>0.1</v>
      </c>
      <c r="F4" s="9" t="n">
        <v>0.09</v>
      </c>
      <c r="G4" s="9" t="n">
        <v>0.08</v>
      </c>
    </row>
    <row r="5" customFormat="false" ht="13.8" hidden="false" customHeight="false" outlineLevel="0" collapsed="false">
      <c r="A5" s="6" t="s">
        <v>9</v>
      </c>
      <c r="B5" s="10" t="n">
        <v>1412916</v>
      </c>
      <c r="C5" s="10" t="n">
        <v>1806740</v>
      </c>
      <c r="D5" s="10" t="n">
        <v>2233090</v>
      </c>
      <c r="E5" s="7"/>
      <c r="F5" s="7"/>
      <c r="G5" s="7"/>
    </row>
    <row r="6" customFormat="false" ht="13.8" hidden="false" customHeight="false" outlineLevel="0" collapsed="false">
      <c r="A6" s="6" t="s">
        <v>10</v>
      </c>
      <c r="B6" s="10" t="n">
        <v>1929211</v>
      </c>
      <c r="C6" s="10" t="n">
        <v>2239132</v>
      </c>
      <c r="D6" s="10" t="n">
        <v>2531351</v>
      </c>
      <c r="E6" s="7"/>
      <c r="F6" s="7"/>
      <c r="G6" s="7"/>
    </row>
    <row r="7" customFormat="false" ht="13.8" hidden="false" customHeight="false" outlineLevel="0" collapsed="false">
      <c r="A7" s="6" t="s">
        <v>11</v>
      </c>
      <c r="B7" s="10" t="n">
        <v>285159</v>
      </c>
      <c r="C7" s="10" t="n">
        <v>241891</v>
      </c>
      <c r="D7" s="10" t="n">
        <v>221171</v>
      </c>
      <c r="E7" s="7"/>
      <c r="F7" s="7"/>
      <c r="G7" s="7"/>
    </row>
    <row r="8" customFormat="false" ht="15" hidden="false" customHeight="true" outlineLevel="0" collapsed="false">
      <c r="A8" s="5" t="s">
        <v>12</v>
      </c>
      <c r="B8" s="5"/>
      <c r="C8" s="5"/>
      <c r="D8" s="5"/>
      <c r="E8" s="5"/>
      <c r="F8" s="5"/>
      <c r="G8" s="5"/>
      <c r="H8" s="5"/>
    </row>
    <row r="9" customFormat="false" ht="13.8" hidden="false" customHeight="false" outlineLevel="0" collapsed="false">
      <c r="A9" s="6" t="s">
        <v>13</v>
      </c>
      <c r="B9" s="8" t="n">
        <v>0.503</v>
      </c>
      <c r="C9" s="8" t="n">
        <v>0.5562</v>
      </c>
      <c r="D9" s="8" t="n">
        <v>0.5787</v>
      </c>
      <c r="E9" s="11" t="n">
        <v>0.58</v>
      </c>
      <c r="F9" s="11" t="n">
        <v>0.565</v>
      </c>
      <c r="G9" s="11" t="n">
        <v>0.568</v>
      </c>
    </row>
    <row r="10" customFormat="false" ht="13.8" hidden="false" customHeight="false" outlineLevel="0" collapsed="false">
      <c r="A10" s="6" t="s">
        <v>14</v>
      </c>
      <c r="B10" s="8" t="n">
        <v>0.3232</v>
      </c>
      <c r="C10" s="8" t="n">
        <v>0.34</v>
      </c>
      <c r="D10" s="8" t="n">
        <v>0.3423</v>
      </c>
      <c r="E10" s="11" t="n">
        <v>0.338</v>
      </c>
      <c r="F10" s="11" t="n">
        <v>0.35</v>
      </c>
      <c r="G10" s="11" t="n">
        <v>0.348</v>
      </c>
    </row>
    <row r="11" customFormat="false" ht="13.8" hidden="false" customHeight="false" outlineLevel="0" collapsed="false">
      <c r="A11" s="6" t="s">
        <v>15</v>
      </c>
      <c r="B11" s="8" t="n">
        <v>0.1798</v>
      </c>
      <c r="C11" s="8" t="n">
        <v>0.2162</v>
      </c>
      <c r="D11" s="8" t="n">
        <v>0.2364</v>
      </c>
      <c r="E11" s="9" t="n">
        <v>0.242</v>
      </c>
      <c r="F11" s="9" t="n">
        <v>0.247</v>
      </c>
      <c r="G11" s="9" t="n">
        <v>0.25</v>
      </c>
    </row>
    <row r="12" customFormat="false" ht="13.8" hidden="false" customHeight="false" outlineLevel="0" collapsed="false">
      <c r="A12" s="6" t="s">
        <v>16</v>
      </c>
      <c r="B12" s="8" t="n">
        <v>0.2241</v>
      </c>
      <c r="C12" s="8" t="n">
        <v>0.2241</v>
      </c>
      <c r="D12" s="8" t="n">
        <v>0.2228</v>
      </c>
      <c r="E12" s="11" t="n">
        <v>0.223</v>
      </c>
      <c r="F12" s="11" t="n">
        <v>0.23</v>
      </c>
      <c r="G12" s="11" t="n">
        <v>0.23</v>
      </c>
    </row>
    <row r="13" customFormat="false" ht="15" hidden="false" customHeight="true" outlineLevel="0" collapsed="false">
      <c r="A13" s="5" t="s">
        <v>17</v>
      </c>
      <c r="B13" s="5"/>
      <c r="C13" s="5"/>
      <c r="D13" s="5"/>
      <c r="E13" s="5"/>
      <c r="F13" s="5"/>
      <c r="G13" s="5"/>
      <c r="H13" s="5"/>
    </row>
    <row r="14" customFormat="false" ht="13.8" hidden="false" customHeight="false" outlineLevel="0" collapsed="false">
      <c r="A14" s="6" t="s">
        <v>18</v>
      </c>
      <c r="B14" s="12" t="n">
        <v>30</v>
      </c>
      <c r="C14" s="12" t="n">
        <v>25</v>
      </c>
      <c r="D14" s="12" t="n">
        <v>24</v>
      </c>
      <c r="E14" s="13" t="n">
        <v>25</v>
      </c>
      <c r="F14" s="13" t="n">
        <v>25</v>
      </c>
      <c r="G14" s="13" t="n">
        <v>25</v>
      </c>
    </row>
    <row r="15" customFormat="false" ht="13.8" hidden="false" customHeight="false" outlineLevel="0" collapsed="false">
      <c r="A15" s="6" t="s">
        <v>19</v>
      </c>
      <c r="B15" s="12" t="n">
        <v>108</v>
      </c>
      <c r="C15" s="12" t="n">
        <v>91</v>
      </c>
      <c r="D15" s="12" t="n">
        <v>86</v>
      </c>
      <c r="E15" s="13" t="n">
        <v>88</v>
      </c>
      <c r="F15" s="13" t="n">
        <v>87</v>
      </c>
      <c r="G15" s="13" t="n">
        <v>86</v>
      </c>
    </row>
    <row r="16" customFormat="false" ht="13.8" hidden="false" customHeight="false" outlineLevel="0" collapsed="false">
      <c r="A16" s="6" t="s">
        <v>20</v>
      </c>
      <c r="B16" s="12" t="n">
        <v>54</v>
      </c>
      <c r="C16" s="12" t="n">
        <v>73</v>
      </c>
      <c r="D16" s="12" t="n">
        <v>73</v>
      </c>
      <c r="E16" s="13" t="n">
        <v>73</v>
      </c>
      <c r="F16" s="13" t="n">
        <v>73</v>
      </c>
      <c r="G16" s="13" t="n">
        <v>73</v>
      </c>
    </row>
    <row r="17" customFormat="false" ht="15" hidden="false" customHeight="true" outlineLevel="0" collapsed="false">
      <c r="A17" s="5" t="s">
        <v>21</v>
      </c>
      <c r="B17" s="5"/>
      <c r="C17" s="5"/>
      <c r="D17" s="5"/>
      <c r="E17" s="5"/>
      <c r="F17" s="5"/>
      <c r="G17" s="5"/>
      <c r="H17" s="5"/>
    </row>
    <row r="18" customFormat="false" ht="13.8" hidden="false" customHeight="false" outlineLevel="0" collapsed="false">
      <c r="A18" s="6" t="s">
        <v>22</v>
      </c>
      <c r="B18" s="8" t="n">
        <v>0.0223</v>
      </c>
      <c r="C18" s="8" t="n">
        <v>0.0208</v>
      </c>
      <c r="D18" s="8" t="n">
        <v>0.0173</v>
      </c>
      <c r="E18" s="9" t="n">
        <v>0.02</v>
      </c>
      <c r="F18" s="9" t="n">
        <v>0.022</v>
      </c>
      <c r="G18" s="9" t="n">
        <v>0.022</v>
      </c>
    </row>
    <row r="19" customFormat="false" ht="13.8" hidden="false" customHeight="false" outlineLevel="0" collapsed="false">
      <c r="A19" s="6" t="s">
        <v>23</v>
      </c>
      <c r="B19" s="8" t="n">
        <v>0.0132</v>
      </c>
      <c r="C19" s="8" t="n">
        <v>0.0134</v>
      </c>
      <c r="D19" s="8" t="n">
        <v>0.0139</v>
      </c>
      <c r="E19" s="9" t="n">
        <v>0.014</v>
      </c>
      <c r="F19" s="9" t="n">
        <v>0.014</v>
      </c>
      <c r="G19" s="9" t="n">
        <v>0.014</v>
      </c>
    </row>
    <row r="20" customFormat="false" ht="15" hidden="false" customHeight="true" outlineLevel="0" collapsed="false">
      <c r="A20" s="5" t="s">
        <v>24</v>
      </c>
      <c r="B20" s="5"/>
      <c r="C20" s="5"/>
      <c r="D20" s="5"/>
      <c r="E20" s="5"/>
      <c r="F20" s="5"/>
      <c r="G20" s="5"/>
      <c r="H20" s="5"/>
    </row>
    <row r="21" customFormat="false" ht="13.8" hidden="false" customHeight="false" outlineLevel="0" collapsed="false">
      <c r="A21" s="6" t="s">
        <v>25</v>
      </c>
      <c r="E21" s="11" t="n">
        <v>0.1</v>
      </c>
    </row>
    <row r="22" customFormat="false" ht="13.8" hidden="false" customHeight="false" outlineLevel="0" collapsed="false">
      <c r="A22" s="6" t="s">
        <v>26</v>
      </c>
      <c r="E22" s="11" t="n">
        <v>0.03</v>
      </c>
    </row>
    <row r="23" customFormat="false" ht="13.8" hidden="false" customHeight="false" outlineLevel="0" collapsed="false">
      <c r="A23" s="6" t="s">
        <v>27</v>
      </c>
      <c r="E23" s="14" t="n">
        <v>141502</v>
      </c>
    </row>
    <row r="24" customFormat="false" ht="13.8" hidden="false" customHeight="false" outlineLevel="0" collapsed="false">
      <c r="A24" s="6" t="s">
        <v>28</v>
      </c>
      <c r="E24" s="14" t="n">
        <v>1889188</v>
      </c>
    </row>
    <row r="25" customFormat="false" ht="13.8" hidden="false" customHeight="false" outlineLevel="0" collapsed="false">
      <c r="A25" s="6" t="s">
        <v>29</v>
      </c>
      <c r="E25" s="15" t="n">
        <v>1.15</v>
      </c>
    </row>
    <row r="26" customFormat="false" ht="13.8" hidden="false" customHeight="false" outlineLevel="0" collapsed="false">
      <c r="A26" s="6" t="s">
        <v>30</v>
      </c>
      <c r="E26" s="11" t="n">
        <v>0.045</v>
      </c>
    </row>
    <row r="27" customFormat="false" ht="13.8" hidden="false" customHeight="false" outlineLevel="0" collapsed="false">
      <c r="A27" s="6" t="s">
        <v>31</v>
      </c>
      <c r="E27" s="11" t="n">
        <v>0.05</v>
      </c>
    </row>
    <row r="28" customFormat="false" ht="13.8" hidden="false" customHeight="false" outlineLevel="0" collapsed="false">
      <c r="A28" s="6" t="s">
        <v>32</v>
      </c>
      <c r="E28" s="11" t="n">
        <v>0.055</v>
      </c>
    </row>
    <row r="29" customFormat="false" ht="13.8" hidden="false" customHeight="false" outlineLevel="0" collapsed="false"/>
    <row r="30" customFormat="false" ht="13.8" hidden="false" customHeight="false" outlineLevel="0" collapsed="false">
      <c r="A30" s="16" t="s">
        <v>33</v>
      </c>
    </row>
  </sheetData>
  <mergeCells count="6">
    <mergeCell ref="A1:H1"/>
    <mergeCell ref="A3:H3"/>
    <mergeCell ref="A8:H8"/>
    <mergeCell ref="A13:H13"/>
    <mergeCell ref="A17:H17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4"/>
  </cols>
  <sheetData>
    <row r="1" customFormat="false" ht="21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/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</row>
    <row r="3" customFormat="false" ht="15" hidden="false" customHeight="true" outlineLevel="0" collapsed="false">
      <c r="A3" s="5" t="s">
        <v>35</v>
      </c>
      <c r="B3" s="5"/>
      <c r="C3" s="5"/>
      <c r="D3" s="5"/>
      <c r="E3" s="5"/>
      <c r="F3" s="5"/>
      <c r="G3" s="5"/>
      <c r="H3" s="5"/>
    </row>
    <row r="4" customFormat="false" ht="13.8" hidden="false" customHeight="false" outlineLevel="0" collapsed="false">
      <c r="A4" s="17" t="s">
        <v>36</v>
      </c>
      <c r="B4" s="18" t="n">
        <v>3627286</v>
      </c>
      <c r="C4" s="18" t="n">
        <v>4287763</v>
      </c>
      <c r="D4" s="18" t="n">
        <v>4985612</v>
      </c>
      <c r="E4" s="19" t="n">
        <f aca="false">D4*(1+Assumptions!E4)</f>
        <v>5484173.2</v>
      </c>
      <c r="F4" s="19" t="n">
        <f aca="false">E4*(1+Assumptions!F4)</f>
        <v>5977748.788</v>
      </c>
      <c r="G4" s="19" t="n">
        <f aca="false">F4*(1+Assumptions!G4)</f>
        <v>6455968.69104</v>
      </c>
    </row>
    <row r="5" customFormat="false" ht="15" hidden="false" customHeight="true" outlineLevel="0" collapsed="false">
      <c r="A5" s="5" t="s">
        <v>37</v>
      </c>
      <c r="B5" s="5"/>
      <c r="C5" s="5"/>
      <c r="D5" s="5"/>
      <c r="E5" s="5"/>
      <c r="F5" s="5"/>
      <c r="G5" s="5"/>
      <c r="H5" s="5"/>
    </row>
    <row r="6" customFormat="false" ht="13.8" hidden="false" customHeight="false" outlineLevel="0" collapsed="false">
      <c r="A6" s="20" t="s">
        <v>38</v>
      </c>
      <c r="B6" s="21" t="n">
        <v>1801916</v>
      </c>
      <c r="C6" s="21" t="n">
        <v>1902275</v>
      </c>
      <c r="D6" s="21" t="n">
        <v>2099949</v>
      </c>
      <c r="E6" s="19" t="n">
        <f aca="false">E4-E7</f>
        <v>2303352.744</v>
      </c>
      <c r="F6" s="19" t="n">
        <f aca="false">F4-F7</f>
        <v>2600320.72278</v>
      </c>
      <c r="G6" s="19" t="n">
        <f aca="false">G4-G7</f>
        <v>2788978.47452928</v>
      </c>
    </row>
    <row r="7" customFormat="false" ht="13.8" hidden="false" customHeight="false" outlineLevel="0" collapsed="false">
      <c r="A7" s="17" t="s">
        <v>39</v>
      </c>
      <c r="B7" s="18" t="n">
        <v>1825370</v>
      </c>
      <c r="C7" s="18" t="n">
        <v>2385488</v>
      </c>
      <c r="D7" s="18" t="n">
        <v>2885663</v>
      </c>
      <c r="E7" s="19" t="n">
        <f aca="false">E4*Assumptions!E9</f>
        <v>3180820.456</v>
      </c>
      <c r="F7" s="19" t="n">
        <f aca="false">F4*Assumptions!F9</f>
        <v>3377428.06522</v>
      </c>
      <c r="G7" s="19" t="n">
        <f aca="false">G4*Assumptions!G9</f>
        <v>3666990.21651072</v>
      </c>
    </row>
    <row r="8" customFormat="false" ht="13.8" hidden="false" customHeight="false" outlineLevel="0" collapsed="false">
      <c r="A8" s="22" t="s">
        <v>40</v>
      </c>
      <c r="B8" s="23" t="n">
        <v>0.503</v>
      </c>
      <c r="C8" s="23" t="n">
        <v>0.5562</v>
      </c>
      <c r="D8" s="23" t="n">
        <v>0.5787</v>
      </c>
      <c r="E8" s="24" t="n">
        <f aca="false">E7/E4</f>
        <v>0.58</v>
      </c>
      <c r="F8" s="24" t="n">
        <f aca="false">F7/F4</f>
        <v>0.565</v>
      </c>
      <c r="G8" s="24" t="n">
        <f aca="false">G7/G4</f>
        <v>0.568</v>
      </c>
    </row>
    <row r="9" customFormat="false" ht="15" hidden="false" customHeight="true" outlineLevel="0" collapsed="false">
      <c r="A9" s="5" t="s">
        <v>41</v>
      </c>
      <c r="B9" s="5"/>
      <c r="C9" s="5"/>
      <c r="D9" s="5"/>
      <c r="E9" s="5"/>
      <c r="F9" s="5"/>
      <c r="G9" s="5"/>
      <c r="H9" s="5"/>
    </row>
    <row r="10" customFormat="false" ht="13.8" hidden="false" customHeight="false" outlineLevel="0" collapsed="false">
      <c r="A10" s="20" t="s">
        <v>42</v>
      </c>
      <c r="B10" s="21" t="n">
        <v>1172619</v>
      </c>
      <c r="C10" s="21" t="n">
        <v>1457974</v>
      </c>
      <c r="D10" s="21" t="n">
        <v>1706571</v>
      </c>
      <c r="E10" s="19" t="n">
        <f aca="false">E4*Assumptions!E10</f>
        <v>1853650.5416</v>
      </c>
      <c r="F10" s="19" t="n">
        <f aca="false">F4*Assumptions!F10</f>
        <v>2092212.0758</v>
      </c>
      <c r="G10" s="19" t="n">
        <f aca="false">G4*Assumptions!G10</f>
        <v>2246677.10448192</v>
      </c>
    </row>
    <row r="11" customFormat="false" ht="13.8" hidden="false" customHeight="false" outlineLevel="0" collapsed="false">
      <c r="A11" s="22" t="s">
        <v>43</v>
      </c>
      <c r="B11" s="23" t="n">
        <v>0.3232</v>
      </c>
      <c r="C11" s="23" t="n">
        <v>0.34</v>
      </c>
      <c r="D11" s="23" t="n">
        <v>0.3423</v>
      </c>
      <c r="E11" s="24" t="n">
        <f aca="false">E10/E4</f>
        <v>0.338</v>
      </c>
      <c r="F11" s="24" t="n">
        <f aca="false">F10/F4</f>
        <v>0.35</v>
      </c>
      <c r="G11" s="24" t="n">
        <f aca="false">G10/G4</f>
        <v>0.348</v>
      </c>
    </row>
    <row r="12" customFormat="false" ht="13.8" hidden="false" customHeight="false" outlineLevel="0" collapsed="false">
      <c r="A12" s="17" t="s">
        <v>44</v>
      </c>
      <c r="B12" s="18" t="n">
        <v>652751</v>
      </c>
      <c r="C12" s="18" t="n">
        <v>927514</v>
      </c>
      <c r="D12" s="18" t="n">
        <v>1179092</v>
      </c>
      <c r="E12" s="25" t="n">
        <f aca="false">E7-E10</f>
        <v>1327169.9144</v>
      </c>
      <c r="F12" s="25" t="n">
        <f aca="false">F7-F10</f>
        <v>1285215.98942</v>
      </c>
      <c r="G12" s="25" t="n">
        <f aca="false">G7-G10</f>
        <v>1420313.1120288</v>
      </c>
    </row>
    <row r="13" customFormat="false" ht="13.8" hidden="false" customHeight="false" outlineLevel="0" collapsed="false">
      <c r="A13" s="22" t="s">
        <v>45</v>
      </c>
      <c r="B13" s="23" t="n">
        <v>0.1798</v>
      </c>
      <c r="C13" s="23" t="n">
        <v>0.2162</v>
      </c>
      <c r="D13" s="23" t="n">
        <v>0.2364</v>
      </c>
      <c r="E13" s="24" t="n">
        <f aca="false">E12/E4</f>
        <v>0.242</v>
      </c>
      <c r="F13" s="24" t="n">
        <f aca="false">F12/F4</f>
        <v>0.215</v>
      </c>
      <c r="G13" s="24" t="n">
        <f aca="false">G12/G4</f>
        <v>0.22</v>
      </c>
    </row>
    <row r="14" customFormat="false" ht="15" hidden="false" customHeight="true" outlineLevel="0" collapsed="false">
      <c r="A14" s="5" t="s">
        <v>46</v>
      </c>
      <c r="B14" s="5"/>
      <c r="C14" s="5"/>
      <c r="D14" s="5"/>
      <c r="E14" s="5"/>
      <c r="F14" s="5"/>
      <c r="G14" s="5"/>
      <c r="H14" s="5"/>
    </row>
    <row r="15" customFormat="false" ht="13.8" hidden="false" customHeight="false" outlineLevel="0" collapsed="false">
      <c r="A15" s="20" t="s">
        <v>47</v>
      </c>
      <c r="B15" s="21" t="n">
        <v>15563</v>
      </c>
      <c r="C15" s="21" t="n">
        <v>52208</v>
      </c>
      <c r="D15" s="21" t="n">
        <v>68389</v>
      </c>
      <c r="E15" s="19" t="n">
        <f aca="false">D15</f>
        <v>68389</v>
      </c>
      <c r="F15" s="19" t="n">
        <f aca="false">E15</f>
        <v>68389</v>
      </c>
      <c r="G15" s="19" t="n">
        <f aca="false">F15</f>
        <v>68389</v>
      </c>
    </row>
    <row r="16" customFormat="false" ht="13.8" hidden="false" customHeight="false" outlineLevel="0" collapsed="false">
      <c r="A16" s="20" t="s">
        <v>48</v>
      </c>
      <c r="B16" s="21" t="n">
        <v>-3442</v>
      </c>
      <c r="C16" s="21" t="n">
        <v>-2564</v>
      </c>
      <c r="D16" s="21" t="n">
        <v>-3517</v>
      </c>
      <c r="E16" s="19" t="n">
        <f aca="false">D16</f>
        <v>-3517</v>
      </c>
      <c r="F16" s="19" t="n">
        <f aca="false">E16</f>
        <v>-3517</v>
      </c>
      <c r="G16" s="19" t="n">
        <f aca="false">F16</f>
        <v>-3517</v>
      </c>
    </row>
    <row r="17" customFormat="false" ht="13.8" hidden="false" customHeight="false" outlineLevel="0" collapsed="false">
      <c r="A17" s="17" t="s">
        <v>49</v>
      </c>
      <c r="B17" s="18" t="n">
        <v>666082</v>
      </c>
      <c r="C17" s="18" t="n">
        <v>978941</v>
      </c>
      <c r="D17" s="18" t="n">
        <v>1243299</v>
      </c>
      <c r="E17" s="25" t="n">
        <f aca="false">E12+E15+E16</f>
        <v>1392041.9144</v>
      </c>
      <c r="F17" s="25" t="n">
        <f aca="false">F12+F15+F16</f>
        <v>1350087.98942</v>
      </c>
      <c r="G17" s="25" t="n">
        <f aca="false">G12+G15+G16</f>
        <v>1485185.1120288</v>
      </c>
    </row>
    <row r="18" customFormat="false" ht="13.8" hidden="false" customHeight="false" outlineLevel="0" collapsed="false">
      <c r="A18" s="20" t="s">
        <v>50</v>
      </c>
      <c r="B18" s="21" t="n">
        <v>149260</v>
      </c>
      <c r="C18" s="21" t="n">
        <v>219378</v>
      </c>
      <c r="D18" s="21" t="n">
        <v>277208</v>
      </c>
      <c r="E18" s="19" t="n">
        <f aca="false">E17*Assumptions!E12</f>
        <v>310425.3469112</v>
      </c>
      <c r="F18" s="19" t="n">
        <f aca="false">F17*Assumptions!F12</f>
        <v>310520.2375666</v>
      </c>
      <c r="G18" s="19" t="n">
        <f aca="false">G17*Assumptions!G12</f>
        <v>341592.575766624</v>
      </c>
    </row>
    <row r="19" customFormat="false" ht="13.8" hidden="false" customHeight="false" outlineLevel="0" collapsed="false">
      <c r="A19" s="22" t="s">
        <v>51</v>
      </c>
      <c r="B19" s="23" t="n">
        <v>0.2241</v>
      </c>
      <c r="C19" s="23" t="n">
        <v>0.2241</v>
      </c>
      <c r="D19" s="23" t="n">
        <v>0.2228</v>
      </c>
      <c r="E19" s="24" t="n">
        <f aca="false">E18/E17</f>
        <v>0.223</v>
      </c>
      <c r="F19" s="24" t="n">
        <f aca="false">F18/F17</f>
        <v>0.23</v>
      </c>
      <c r="G19" s="24" t="n">
        <f aca="false">G18/G17</f>
        <v>0.23</v>
      </c>
    </row>
    <row r="20" customFormat="false" ht="13.8" hidden="false" customHeight="false" outlineLevel="0" collapsed="false">
      <c r="A20" s="17" t="s">
        <v>52</v>
      </c>
      <c r="B20" s="18" t="n">
        <v>516822</v>
      </c>
      <c r="C20" s="18" t="n">
        <v>759563</v>
      </c>
      <c r="D20" s="18" t="n">
        <v>966091</v>
      </c>
      <c r="E20" s="25" t="n">
        <f aca="false">E17-E18</f>
        <v>1081616.5674888</v>
      </c>
      <c r="F20" s="25" t="n">
        <f aca="false">F17-F18</f>
        <v>1039567.7518534</v>
      </c>
      <c r="G20" s="25" t="n">
        <f aca="false">G17-G18</f>
        <v>1143592.53626218</v>
      </c>
    </row>
    <row r="21" customFormat="false" ht="13.8" hidden="false" customHeight="false" outlineLevel="0" collapsed="false">
      <c r="A21" s="22" t="s">
        <v>53</v>
      </c>
      <c r="B21" s="23" t="n">
        <v>0.1425</v>
      </c>
      <c r="C21" s="23" t="n">
        <v>0.1971</v>
      </c>
      <c r="D21" s="23" t="n">
        <v>0.1938</v>
      </c>
      <c r="E21" s="24" t="n">
        <f aca="false">E20/E4</f>
        <v>0.197225092651851</v>
      </c>
      <c r="F21" s="24" t="n">
        <f aca="false">F20/F4</f>
        <v>0.173906229371879</v>
      </c>
      <c r="G21" s="24" t="n">
        <f aca="false">G20/G4</f>
        <v>0.177137249418407</v>
      </c>
    </row>
    <row r="22" customFormat="false" ht="15" hidden="false" customHeight="true" outlineLevel="0" collapsed="false">
      <c r="A22" s="5" t="s">
        <v>54</v>
      </c>
      <c r="B22" s="5"/>
      <c r="C22" s="5"/>
      <c r="D22" s="5"/>
      <c r="E22" s="5"/>
      <c r="F22" s="5"/>
      <c r="G22" s="5"/>
      <c r="H22" s="5"/>
    </row>
    <row r="23" customFormat="false" ht="13.8" hidden="false" customHeight="false" outlineLevel="0" collapsed="false">
      <c r="A23" s="20" t="s">
        <v>55</v>
      </c>
      <c r="B23" s="21" t="n">
        <v>47858</v>
      </c>
      <c r="C23" s="21" t="n">
        <v>57587</v>
      </c>
      <c r="D23" s="21" t="n">
        <v>69353</v>
      </c>
      <c r="E23" s="19" t="n">
        <f aca="false">E4*Assumptions!E19</f>
        <v>76778.4248</v>
      </c>
      <c r="F23" s="19" t="n">
        <f aca="false">F4*Assumptions!F19</f>
        <v>83688.483032</v>
      </c>
      <c r="G23" s="19" t="n">
        <f aca="false">G4*Assumptions!G19</f>
        <v>90383.56167456</v>
      </c>
    </row>
    <row r="24" customFormat="false" ht="13.8" hidden="false" customHeight="false" outlineLevel="0" collapsed="false">
      <c r="A24" s="17" t="s">
        <v>56</v>
      </c>
      <c r="B24" s="18" t="n">
        <v>700609</v>
      </c>
      <c r="C24" s="18" t="n">
        <v>985101</v>
      </c>
      <c r="D24" s="18" t="n">
        <v>1248445</v>
      </c>
      <c r="E24" s="25" t="n">
        <f aca="false">E12+E23</f>
        <v>1403948.3392</v>
      </c>
      <c r="F24" s="25" t="n">
        <f aca="false">F12+F23</f>
        <v>1368904.472452</v>
      </c>
      <c r="G24" s="25" t="n">
        <f aca="false">G12+G23</f>
        <v>1510696.67370336</v>
      </c>
    </row>
    <row r="25" customFormat="false" ht="13.8" hidden="false" customHeight="false" outlineLevel="0" collapsed="false">
      <c r="A25" s="22" t="s">
        <v>57</v>
      </c>
      <c r="B25" s="23" t="n">
        <v>0.1931</v>
      </c>
      <c r="C25" s="23" t="n">
        <v>0.2297</v>
      </c>
      <c r="D25" s="23" t="n">
        <v>0.2504</v>
      </c>
      <c r="E25" s="24" t="n">
        <f aca="false">E24/E4</f>
        <v>0.256</v>
      </c>
      <c r="F25" s="24" t="n">
        <f aca="false">F24/F4</f>
        <v>0.229</v>
      </c>
      <c r="G25" s="24" t="n">
        <f aca="false">G24/G4</f>
        <v>0.234</v>
      </c>
    </row>
    <row r="26" customFormat="false" ht="13.8" hidden="false" customHeight="false" outlineLevel="0" collapsed="false"/>
    <row r="27" customFormat="false" ht="13.8" hidden="false" customHeight="false" outlineLevel="0" collapsed="false">
      <c r="A27" s="16" t="s">
        <v>58</v>
      </c>
    </row>
  </sheetData>
  <mergeCells count="6">
    <mergeCell ref="A1:H1"/>
    <mergeCell ref="A3:H3"/>
    <mergeCell ref="A5:H5"/>
    <mergeCell ref="A9:H9"/>
    <mergeCell ref="A14:H14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4"/>
  </cols>
  <sheetData>
    <row r="1" customFormat="false" ht="21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/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</row>
    <row r="3" customFormat="false" ht="15" hidden="false" customHeight="true" outlineLevel="0" collapsed="false">
      <c r="A3" s="5" t="s">
        <v>60</v>
      </c>
      <c r="B3" s="5"/>
      <c r="C3" s="5"/>
      <c r="D3" s="5"/>
      <c r="E3" s="5"/>
      <c r="F3" s="5"/>
      <c r="G3" s="5"/>
      <c r="H3" s="5"/>
    </row>
    <row r="4" customFormat="false" ht="13.8" hidden="false" customHeight="false" outlineLevel="0" collapsed="false">
      <c r="A4" s="17" t="s">
        <v>61</v>
      </c>
      <c r="B4" s="26"/>
      <c r="C4" s="26"/>
      <c r="D4" s="26"/>
      <c r="E4" s="27"/>
      <c r="F4" s="27"/>
      <c r="G4" s="27"/>
    </row>
    <row r="5" customFormat="false" ht="13.8" hidden="false" customHeight="false" outlineLevel="0" collapsed="false">
      <c r="A5" s="20" t="s">
        <v>62</v>
      </c>
      <c r="B5" s="21" t="n">
        <v>981795</v>
      </c>
      <c r="C5" s="21" t="n">
        <v>1502051</v>
      </c>
      <c r="D5" s="21" t="n">
        <v>1889188</v>
      </c>
      <c r="E5" s="19" t="n">
        <f aca="false">'Cash Flow'!E29</f>
        <v>1840698.89497373</v>
      </c>
      <c r="F5" s="19" t="n">
        <f aca="false">'Cash Flow'!F29</f>
        <v>2038859.33842941</v>
      </c>
      <c r="G5" s="19" t="n">
        <f aca="false">'Cash Flow'!G29</f>
        <v>2258366.90803593</v>
      </c>
    </row>
    <row r="6" customFormat="false" ht="13.8" hidden="false" customHeight="false" outlineLevel="0" collapsed="false">
      <c r="A6" s="20" t="s">
        <v>63</v>
      </c>
      <c r="B6" s="21" t="n">
        <v>301511</v>
      </c>
      <c r="C6" s="21" t="n">
        <v>296565</v>
      </c>
      <c r="D6" s="21" t="n">
        <v>332872</v>
      </c>
      <c r="E6" s="19" t="n">
        <f aca="false">Assumptions!E14/365*'Income Statement'!E4</f>
        <v>375628.301369863</v>
      </c>
      <c r="F6" s="19" t="n">
        <f aca="false">Assumptions!F14/365*'Income Statement'!F4</f>
        <v>409434.848493151</v>
      </c>
      <c r="G6" s="19" t="n">
        <f aca="false">Assumptions!G14/365*'Income Statement'!G4</f>
        <v>442189.636372603</v>
      </c>
    </row>
    <row r="7" customFormat="false" ht="13.8" hidden="false" customHeight="false" outlineLevel="0" collapsed="false">
      <c r="A7" s="20" t="s">
        <v>64</v>
      </c>
      <c r="B7" s="21" t="n">
        <v>532852</v>
      </c>
      <c r="C7" s="21" t="n">
        <v>474311</v>
      </c>
      <c r="D7" s="21" t="n">
        <v>495226</v>
      </c>
      <c r="E7" s="19" t="n">
        <f aca="false">Assumptions!E15/365*'Income Statement'!E6</f>
        <v>555328.880745206</v>
      </c>
      <c r="F7" s="19" t="n">
        <f aca="false">Assumptions!F15/365*'Income Statement'!F6</f>
        <v>619802.473648932</v>
      </c>
      <c r="G7" s="19" t="n">
        <f aca="false">Assumptions!G15/365*'Income Statement'!G6</f>
        <v>657129.174820598</v>
      </c>
    </row>
    <row r="8" customFormat="false" ht="13.8" hidden="false" customHeight="false" outlineLevel="0" collapsed="false">
      <c r="A8" s="20" t="s">
        <v>65</v>
      </c>
      <c r="B8" s="21" t="n">
        <v>33788</v>
      </c>
      <c r="C8" s="21" t="n">
        <v>34284</v>
      </c>
      <c r="D8" s="21" t="n">
        <v>39294</v>
      </c>
      <c r="E8" s="19" t="n">
        <f aca="false">D8</f>
        <v>39294</v>
      </c>
      <c r="F8" s="19" t="n">
        <f aca="false">E8</f>
        <v>39294</v>
      </c>
      <c r="G8" s="19" t="n">
        <f aca="false">F8</f>
        <v>39294</v>
      </c>
    </row>
    <row r="9" customFormat="false" ht="13.8" hidden="false" customHeight="false" outlineLevel="0" collapsed="false">
      <c r="A9" s="20" t="s">
        <v>66</v>
      </c>
      <c r="B9" s="21" t="n">
        <v>55523</v>
      </c>
      <c r="C9" s="21" t="n">
        <v>92713</v>
      </c>
      <c r="D9" s="21" t="n">
        <v>67282</v>
      </c>
      <c r="E9" s="19" t="n">
        <f aca="false">D9</f>
        <v>67282</v>
      </c>
      <c r="F9" s="19" t="n">
        <f aca="false">E9</f>
        <v>67282</v>
      </c>
      <c r="G9" s="19" t="n">
        <f aca="false">F9</f>
        <v>67282</v>
      </c>
    </row>
    <row r="10" customFormat="false" ht="13.8" hidden="false" customHeight="false" outlineLevel="0" collapsed="false">
      <c r="A10" s="20" t="s">
        <v>67</v>
      </c>
      <c r="B10" s="21" t="n">
        <v>4784</v>
      </c>
      <c r="C10" s="21" t="n">
        <v>43559</v>
      </c>
      <c r="D10" s="21" t="n">
        <v>36613</v>
      </c>
      <c r="E10" s="19" t="n">
        <f aca="false">D10</f>
        <v>36613</v>
      </c>
      <c r="F10" s="19" t="n">
        <f aca="false">E10</f>
        <v>36613</v>
      </c>
      <c r="G10" s="19" t="n">
        <f aca="false">F10</f>
        <v>36613</v>
      </c>
    </row>
    <row r="11" customFormat="false" ht="13.8" hidden="false" customHeight="false" outlineLevel="0" collapsed="false">
      <c r="A11" s="17" t="s">
        <v>68</v>
      </c>
      <c r="B11" s="18" t="n">
        <v>1910253</v>
      </c>
      <c r="C11" s="18" t="n">
        <v>2443483</v>
      </c>
      <c r="D11" s="18" t="n">
        <v>2860475</v>
      </c>
      <c r="E11" s="25" t="n">
        <f aca="false">SUM(E5:E10)</f>
        <v>2914845.0770888</v>
      </c>
      <c r="F11" s="25" t="n">
        <f aca="false">SUM(F5:F10)</f>
        <v>3211285.66057149</v>
      </c>
      <c r="G11" s="25" t="n">
        <f aca="false">SUM(G5:G10)</f>
        <v>3500874.71922913</v>
      </c>
    </row>
    <row r="12" customFormat="false" ht="13.8" hidden="false" customHeight="false" outlineLevel="0" collapsed="false">
      <c r="A12" s="20" t="s">
        <v>69</v>
      </c>
      <c r="B12" s="21" t="n">
        <v>266679</v>
      </c>
      <c r="C12" s="21" t="n">
        <v>302122</v>
      </c>
      <c r="D12" s="21" t="n">
        <v>325599</v>
      </c>
      <c r="E12" s="19" t="n">
        <f aca="false">D12+'Cash Flow'!E17*-1-'Income Statement'!E23</f>
        <v>358504.0392</v>
      </c>
      <c r="F12" s="19" t="n">
        <f aca="false">E12+'Cash Flow'!F17*-1-'Income Statement'!F23</f>
        <v>406326.029504</v>
      </c>
      <c r="G12" s="19" t="n">
        <f aca="false">F12+'Cash Flow'!G17*-1-'Income Statement'!G23</f>
        <v>457973.77903232</v>
      </c>
    </row>
    <row r="13" customFormat="false" ht="13.8" hidden="false" customHeight="false" outlineLevel="0" collapsed="false">
      <c r="A13" s="20" t="s">
        <v>70</v>
      </c>
      <c r="B13" s="21" t="n">
        <v>213302</v>
      </c>
      <c r="C13" s="21" t="n">
        <v>225669</v>
      </c>
      <c r="D13" s="21" t="n">
        <v>237352</v>
      </c>
      <c r="E13" s="19" t="n">
        <f aca="false">D13</f>
        <v>237352</v>
      </c>
      <c r="F13" s="19" t="n">
        <f aca="false">E13</f>
        <v>237352</v>
      </c>
      <c r="G13" s="19" t="n">
        <f aca="false">F13</f>
        <v>237352</v>
      </c>
    </row>
    <row r="14" customFormat="false" ht="13.8" hidden="false" customHeight="false" outlineLevel="0" collapsed="false">
      <c r="A14" s="20" t="s">
        <v>71</v>
      </c>
      <c r="B14" s="21" t="n">
        <v>13990</v>
      </c>
      <c r="C14" s="21" t="n">
        <v>13990</v>
      </c>
      <c r="D14" s="21" t="n">
        <v>13990</v>
      </c>
      <c r="E14" s="19" t="n">
        <f aca="false">D14</f>
        <v>13990</v>
      </c>
      <c r="F14" s="19" t="n">
        <f aca="false">E14</f>
        <v>13990</v>
      </c>
      <c r="G14" s="19" t="n">
        <f aca="false">F14</f>
        <v>13990</v>
      </c>
    </row>
    <row r="15" customFormat="false" ht="13.8" hidden="false" customHeight="false" outlineLevel="0" collapsed="false">
      <c r="A15" s="20" t="s">
        <v>72</v>
      </c>
      <c r="B15" s="21" t="n">
        <v>37457</v>
      </c>
      <c r="C15" s="21" t="n">
        <v>27083</v>
      </c>
      <c r="D15" s="21" t="n">
        <v>15699</v>
      </c>
      <c r="E15" s="19" t="n">
        <f aca="false">D15</f>
        <v>15699</v>
      </c>
      <c r="F15" s="19" t="n">
        <f aca="false">E15</f>
        <v>15699</v>
      </c>
      <c r="G15" s="19" t="n">
        <f aca="false">F15</f>
        <v>15699</v>
      </c>
    </row>
    <row r="16" customFormat="false" ht="13.8" hidden="false" customHeight="false" outlineLevel="0" collapsed="false">
      <c r="A16" s="20" t="s">
        <v>73</v>
      </c>
      <c r="B16" s="21" t="n">
        <v>72592</v>
      </c>
      <c r="C16" s="21" t="n">
        <v>72584</v>
      </c>
      <c r="D16" s="21" t="n">
        <v>77591</v>
      </c>
      <c r="E16" s="19" t="n">
        <f aca="false">D16</f>
        <v>77591</v>
      </c>
      <c r="F16" s="19" t="n">
        <f aca="false">E16</f>
        <v>77591</v>
      </c>
      <c r="G16" s="19" t="n">
        <f aca="false">F16</f>
        <v>77591</v>
      </c>
    </row>
    <row r="17" customFormat="false" ht="13.8" hidden="false" customHeight="false" outlineLevel="0" collapsed="false">
      <c r="A17" s="20" t="s">
        <v>74</v>
      </c>
      <c r="B17" s="21" t="n">
        <v>41930</v>
      </c>
      <c r="C17" s="21" t="n">
        <v>50648</v>
      </c>
      <c r="D17" s="21" t="n">
        <v>39546</v>
      </c>
      <c r="E17" s="19" t="n">
        <f aca="false">D17</f>
        <v>39546</v>
      </c>
      <c r="F17" s="19" t="n">
        <f aca="false">E17</f>
        <v>39546</v>
      </c>
      <c r="G17" s="19" t="n">
        <f aca="false">F17</f>
        <v>39546</v>
      </c>
    </row>
    <row r="18" customFormat="false" ht="13.8" hidden="false" customHeight="false" outlineLevel="0" collapsed="false">
      <c r="A18" s="17" t="s">
        <v>75</v>
      </c>
      <c r="B18" s="18" t="n">
        <v>2556203</v>
      </c>
      <c r="C18" s="18" t="n">
        <v>3135579</v>
      </c>
      <c r="D18" s="18" t="n">
        <v>3570252</v>
      </c>
      <c r="E18" s="25" t="n">
        <f aca="false">E11+SUM(E12:E17)</f>
        <v>3657527.1162888</v>
      </c>
      <c r="F18" s="25" t="n">
        <f aca="false">F11+SUM(F12:F17)</f>
        <v>4001789.69007549</v>
      </c>
      <c r="G18" s="25" t="n">
        <f aca="false">G11+SUM(G12:G17)</f>
        <v>4343026.49826145</v>
      </c>
    </row>
    <row r="19" customFormat="false" ht="13.8" hidden="false" customHeight="false" outlineLevel="0" collapsed="false"/>
    <row r="20" customFormat="false" ht="15" hidden="false" customHeight="true" outlineLevel="0" collapsed="false">
      <c r="A20" s="5" t="s">
        <v>76</v>
      </c>
      <c r="B20" s="5"/>
      <c r="C20" s="5"/>
      <c r="D20" s="5"/>
      <c r="E20" s="5"/>
      <c r="F20" s="5"/>
      <c r="G20" s="5"/>
      <c r="H20" s="5"/>
    </row>
    <row r="21" customFormat="false" ht="13.8" hidden="false" customHeight="false" outlineLevel="0" collapsed="false">
      <c r="A21" s="17" t="s">
        <v>77</v>
      </c>
      <c r="B21" s="26"/>
      <c r="C21" s="26"/>
      <c r="D21" s="26"/>
      <c r="E21" s="27"/>
      <c r="F21" s="27"/>
      <c r="G21" s="27"/>
    </row>
    <row r="22" customFormat="false" ht="13.8" hidden="false" customHeight="false" outlineLevel="0" collapsed="false">
      <c r="A22" s="20" t="s">
        <v>78</v>
      </c>
      <c r="B22" s="21" t="n">
        <v>265605</v>
      </c>
      <c r="C22" s="21" t="n">
        <v>378503</v>
      </c>
      <c r="D22" s="21" t="n">
        <v>417955</v>
      </c>
      <c r="E22" s="19" t="n">
        <f aca="false">Assumptions!E16/365*'Income Statement'!E6</f>
        <v>460670.5488</v>
      </c>
      <c r="F22" s="19" t="n">
        <f aca="false">Assumptions!F16/365*'Income Statement'!F6</f>
        <v>520064.144556</v>
      </c>
      <c r="G22" s="19" t="n">
        <f aca="false">Assumptions!G16/365*'Income Statement'!G6</f>
        <v>557795.694905856</v>
      </c>
    </row>
    <row r="23" customFormat="false" ht="13.8" hidden="false" customHeight="false" outlineLevel="0" collapsed="false">
      <c r="A23" s="20" t="s">
        <v>79</v>
      </c>
      <c r="B23" s="21" t="n">
        <v>63781</v>
      </c>
      <c r="C23" s="21" t="n">
        <v>123653</v>
      </c>
      <c r="D23" s="21" t="n">
        <v>125417</v>
      </c>
      <c r="E23" s="19" t="n">
        <f aca="false">D23</f>
        <v>125417</v>
      </c>
      <c r="F23" s="19" t="n">
        <f aca="false">E23</f>
        <v>125417</v>
      </c>
      <c r="G23" s="19" t="n">
        <f aca="false">F23</f>
        <v>125417</v>
      </c>
    </row>
    <row r="24" customFormat="false" ht="13.8" hidden="false" customHeight="false" outlineLevel="0" collapsed="false">
      <c r="A24" s="20" t="s">
        <v>80</v>
      </c>
      <c r="B24" s="21" t="n">
        <v>50765</v>
      </c>
      <c r="C24" s="21" t="n">
        <v>53581</v>
      </c>
      <c r="D24" s="21" t="n">
        <v>54453</v>
      </c>
      <c r="E24" s="19" t="n">
        <f aca="false">D24</f>
        <v>54453</v>
      </c>
      <c r="F24" s="19" t="n">
        <f aca="false">E24</f>
        <v>54453</v>
      </c>
      <c r="G24" s="19" t="n">
        <f aca="false">F24</f>
        <v>54453</v>
      </c>
    </row>
    <row r="25" customFormat="false" ht="13.8" hidden="false" customHeight="false" outlineLevel="0" collapsed="false">
      <c r="A25" s="20" t="s">
        <v>81</v>
      </c>
      <c r="B25" s="21" t="n">
        <v>86753</v>
      </c>
      <c r="C25" s="21" t="n">
        <v>106785</v>
      </c>
      <c r="D25" s="21" t="n">
        <v>142120</v>
      </c>
      <c r="E25" s="19" t="n">
        <f aca="false">D25</f>
        <v>142120</v>
      </c>
      <c r="F25" s="19" t="n">
        <f aca="false">E25</f>
        <v>142120</v>
      </c>
      <c r="G25" s="19" t="n">
        <f aca="false">F25</f>
        <v>142120</v>
      </c>
    </row>
    <row r="26" customFormat="false" ht="13.8" hidden="false" customHeight="false" outlineLevel="0" collapsed="false">
      <c r="A26" s="20" t="s">
        <v>82</v>
      </c>
      <c r="B26" s="21" t="n">
        <v>17322</v>
      </c>
      <c r="C26" s="21" t="n">
        <v>52338</v>
      </c>
      <c r="D26" s="21" t="n">
        <v>23299</v>
      </c>
      <c r="E26" s="19" t="n">
        <f aca="false">D26</f>
        <v>23299</v>
      </c>
      <c r="F26" s="19" t="n">
        <f aca="false">E26</f>
        <v>23299</v>
      </c>
      <c r="G26" s="19" t="n">
        <f aca="false">F26</f>
        <v>23299</v>
      </c>
    </row>
    <row r="27" customFormat="false" ht="13.8" hidden="false" customHeight="false" outlineLevel="0" collapsed="false">
      <c r="A27" s="20" t="s">
        <v>83</v>
      </c>
      <c r="B27" s="21" t="n">
        <v>13154</v>
      </c>
      <c r="C27" s="21" t="n">
        <v>5133</v>
      </c>
      <c r="D27" s="21" t="n">
        <v>6697</v>
      </c>
      <c r="E27" s="19" t="n">
        <f aca="false">D27</f>
        <v>6697</v>
      </c>
      <c r="F27" s="19" t="n">
        <f aca="false">E27</f>
        <v>6697</v>
      </c>
      <c r="G27" s="19" t="n">
        <f aca="false">F27</f>
        <v>6697</v>
      </c>
    </row>
    <row r="28" customFormat="false" ht="13.8" hidden="false" customHeight="false" outlineLevel="0" collapsed="false">
      <c r="A28" s="17" t="s">
        <v>84</v>
      </c>
      <c r="B28" s="18" t="n">
        <v>497380</v>
      </c>
      <c r="C28" s="18" t="n">
        <v>719993</v>
      </c>
      <c r="D28" s="18" t="n">
        <v>769941</v>
      </c>
      <c r="E28" s="25" t="n">
        <f aca="false">SUM(E22:E27)</f>
        <v>812656.5488</v>
      </c>
      <c r="F28" s="25" t="n">
        <f aca="false">SUM(F22:F27)</f>
        <v>872050.144556</v>
      </c>
      <c r="G28" s="25" t="n">
        <f aca="false">SUM(G22:G27)</f>
        <v>909781.694905856</v>
      </c>
    </row>
    <row r="29" customFormat="false" ht="13.8" hidden="false" customHeight="false" outlineLevel="0" collapsed="false">
      <c r="A29" s="20" t="s">
        <v>85</v>
      </c>
      <c r="B29" s="21" t="n">
        <v>195723</v>
      </c>
      <c r="C29" s="21" t="n">
        <v>213298</v>
      </c>
      <c r="D29" s="21" t="n">
        <v>222522</v>
      </c>
      <c r="E29" s="19" t="n">
        <f aca="false">D29</f>
        <v>222522</v>
      </c>
      <c r="F29" s="19" t="n">
        <f aca="false">E29</f>
        <v>222522</v>
      </c>
      <c r="G29" s="19" t="n">
        <f aca="false">F29</f>
        <v>222522</v>
      </c>
    </row>
    <row r="30" customFormat="false" ht="13.8" hidden="false" customHeight="false" outlineLevel="0" collapsed="false">
      <c r="A30" s="20" t="s">
        <v>86</v>
      </c>
      <c r="B30" s="21" t="n">
        <v>62032</v>
      </c>
      <c r="C30" s="21" t="n">
        <v>52470</v>
      </c>
      <c r="D30" s="21" t="n">
        <v>13587</v>
      </c>
      <c r="E30" s="19" t="n">
        <f aca="false">D30</f>
        <v>13587</v>
      </c>
      <c r="F30" s="19" t="n">
        <f aca="false">E30</f>
        <v>13587</v>
      </c>
      <c r="G30" s="19" t="n">
        <f aca="false">F30</f>
        <v>13587</v>
      </c>
    </row>
    <row r="31" customFormat="false" ht="13.8" hidden="false" customHeight="false" outlineLevel="0" collapsed="false">
      <c r="A31" s="20" t="s">
        <v>87</v>
      </c>
      <c r="B31" s="21" t="n">
        <v>35335</v>
      </c>
      <c r="C31" s="21" t="n">
        <v>42350</v>
      </c>
      <c r="D31" s="21" t="n">
        <v>51189</v>
      </c>
      <c r="E31" s="19" t="n">
        <f aca="false">D31</f>
        <v>51189</v>
      </c>
      <c r="F31" s="19" t="n">
        <f aca="false">E31</f>
        <v>51189</v>
      </c>
      <c r="G31" s="19" t="n">
        <f aca="false">F31</f>
        <v>51189</v>
      </c>
    </row>
    <row r="32" customFormat="false" ht="13.8" hidden="false" customHeight="false" outlineLevel="0" collapsed="false">
      <c r="A32" s="17" t="s">
        <v>88</v>
      </c>
      <c r="B32" s="18" t="n">
        <v>293090</v>
      </c>
      <c r="C32" s="18" t="n">
        <v>308118</v>
      </c>
      <c r="D32" s="18" t="n">
        <v>287298</v>
      </c>
      <c r="E32" s="25" t="n">
        <f aca="false">SUM(E29:E31)</f>
        <v>287298</v>
      </c>
      <c r="F32" s="25" t="n">
        <f aca="false">SUM(F29:F31)</f>
        <v>287298</v>
      </c>
      <c r="G32" s="25" t="n">
        <f aca="false">SUM(G29:G31)</f>
        <v>287298</v>
      </c>
    </row>
    <row r="33" customFormat="false" ht="13.8" hidden="false" customHeight="false" outlineLevel="0" collapsed="false">
      <c r="A33" s="17" t="s">
        <v>89</v>
      </c>
      <c r="B33" s="18" t="n">
        <v>790470</v>
      </c>
      <c r="C33" s="18" t="n">
        <v>1028111</v>
      </c>
      <c r="D33" s="18" t="n">
        <v>1057239</v>
      </c>
      <c r="E33" s="25" t="n">
        <f aca="false">E28+E32</f>
        <v>1099954.5488</v>
      </c>
      <c r="F33" s="25" t="n">
        <f aca="false">F28+F32</f>
        <v>1159348.144556</v>
      </c>
      <c r="G33" s="25" t="n">
        <f aca="false">G28+G32</f>
        <v>1197079.69490586</v>
      </c>
    </row>
    <row r="34" customFormat="false" ht="13.8" hidden="false" customHeight="false" outlineLevel="0" collapsed="false"/>
    <row r="35" customFormat="false" ht="13.8" hidden="false" customHeight="false" outlineLevel="0" collapsed="false">
      <c r="A35" s="20" t="s">
        <v>90</v>
      </c>
      <c r="B35" s="21" t="n">
        <v>262</v>
      </c>
      <c r="C35" s="21" t="n">
        <v>1536</v>
      </c>
      <c r="D35" s="21" t="n">
        <v>1502</v>
      </c>
      <c r="E35" s="19" t="n">
        <f aca="false">D35</f>
        <v>1502</v>
      </c>
      <c r="F35" s="19" t="n">
        <f aca="false">E35</f>
        <v>1502</v>
      </c>
      <c r="G35" s="19" t="n">
        <f aca="false">F35</f>
        <v>1502</v>
      </c>
    </row>
    <row r="36" customFormat="false" ht="13.8" hidden="false" customHeight="false" outlineLevel="0" collapsed="false">
      <c r="A36" s="20" t="s">
        <v>91</v>
      </c>
      <c r="B36" s="21" t="n">
        <v>232932</v>
      </c>
      <c r="C36" s="21" t="n">
        <v>243050</v>
      </c>
      <c r="D36" s="21" t="n">
        <v>253466</v>
      </c>
      <c r="E36" s="19" t="n">
        <f aca="false">D36+'Cash Flow'!E6</f>
        <v>291409</v>
      </c>
      <c r="F36" s="19" t="n">
        <f aca="false">E36+'Cash Flow'!F6</f>
        <v>329352</v>
      </c>
      <c r="G36" s="19" t="n">
        <f aca="false">F36+'Cash Flow'!G6</f>
        <v>367295</v>
      </c>
    </row>
    <row r="37" customFormat="false" ht="13.8" hidden="false" customHeight="false" outlineLevel="0" collapsed="false">
      <c r="A37" s="20" t="s">
        <v>92</v>
      </c>
      <c r="B37" s="21" t="n">
        <v>1571574</v>
      </c>
      <c r="C37" s="21" t="n">
        <v>1913615</v>
      </c>
      <c r="D37" s="21" t="n">
        <v>2307699</v>
      </c>
      <c r="E37" s="19" t="n">
        <f aca="false">D37+'Income Statement'!E20+'Cash Flow'!E21</f>
        <v>2314315.5674888</v>
      </c>
      <c r="F37" s="19" t="n">
        <f aca="false">E37+'Income Statement'!F20+'Cash Flow'!F21</f>
        <v>2561241.54551949</v>
      </c>
      <c r="G37" s="19" t="n">
        <f aca="false">F37+'Income Statement'!G20+'Cash Flow'!G21</f>
        <v>2826803.80335559</v>
      </c>
    </row>
    <row r="38" customFormat="false" ht="13.8" hidden="false" customHeight="false" outlineLevel="0" collapsed="false">
      <c r="A38" s="20" t="s">
        <v>93</v>
      </c>
      <c r="B38" s="21" t="n">
        <v>-39035</v>
      </c>
      <c r="C38" s="21" t="n">
        <v>-50733</v>
      </c>
      <c r="D38" s="21" t="n">
        <v>-49654</v>
      </c>
      <c r="E38" s="19" t="n">
        <f aca="false">D38</f>
        <v>-49654</v>
      </c>
      <c r="F38" s="19" t="n">
        <f aca="false">E38</f>
        <v>-49654</v>
      </c>
      <c r="G38" s="19" t="n">
        <f aca="false">F38</f>
        <v>-49654</v>
      </c>
    </row>
    <row r="39" customFormat="false" ht="13.8" hidden="false" customHeight="false" outlineLevel="0" collapsed="false">
      <c r="A39" s="17" t="s">
        <v>94</v>
      </c>
      <c r="B39" s="18" t="n">
        <v>1765733</v>
      </c>
      <c r="C39" s="18" t="n">
        <v>2107468</v>
      </c>
      <c r="D39" s="18" t="n">
        <v>2513013</v>
      </c>
      <c r="E39" s="25" t="n">
        <f aca="false">SUM(E35:E38)</f>
        <v>2557572.5674888</v>
      </c>
      <c r="F39" s="25" t="n">
        <f aca="false">SUM(F35:F38)</f>
        <v>2842441.54551949</v>
      </c>
      <c r="G39" s="25" t="n">
        <f aca="false">SUM(G35:G38)</f>
        <v>3145946.80335559</v>
      </c>
    </row>
    <row r="40" customFormat="false" ht="13.8" hidden="false" customHeight="false" outlineLevel="0" collapsed="false">
      <c r="A40" s="17" t="s">
        <v>95</v>
      </c>
      <c r="B40" s="18" t="n">
        <v>2556203</v>
      </c>
      <c r="C40" s="18" t="n">
        <v>3135579</v>
      </c>
      <c r="D40" s="18" t="n">
        <v>3570252</v>
      </c>
      <c r="E40" s="25" t="n">
        <f aca="false">E33+E39</f>
        <v>3657527.1162888</v>
      </c>
      <c r="F40" s="25" t="n">
        <f aca="false">F33+F39</f>
        <v>4001789.69007549</v>
      </c>
      <c r="G40" s="25" t="n">
        <f aca="false">G33+G39</f>
        <v>4343026.49826145</v>
      </c>
    </row>
    <row r="41" customFormat="false" ht="13.8" hidden="false" customHeight="false" outlineLevel="0" collapsed="false"/>
    <row r="42" customFormat="false" ht="13.8" hidden="false" customHeight="false" outlineLevel="0" collapsed="false">
      <c r="A42" s="20" t="s">
        <v>96</v>
      </c>
      <c r="B42" s="28" t="n">
        <f aca="false">B18-B40</f>
        <v>0</v>
      </c>
      <c r="C42" s="28" t="n">
        <f aca="false">C18-C40</f>
        <v>0</v>
      </c>
      <c r="D42" s="28" t="n">
        <f aca="false">D18-D40</f>
        <v>0</v>
      </c>
      <c r="E42" s="29" t="n">
        <f aca="false">E18-E40</f>
        <v>0</v>
      </c>
      <c r="F42" s="29" t="n">
        <f aca="false">F18-F40</f>
        <v>0</v>
      </c>
      <c r="G42" s="29" t="n">
        <f aca="false">G18-G40</f>
        <v>0</v>
      </c>
    </row>
    <row r="43" customFormat="false" ht="13.8" hidden="false" customHeight="false" outlineLevel="0" collapsed="false"/>
    <row r="44" customFormat="false" ht="13.8" hidden="false" customHeight="false" outlineLevel="0" collapsed="false">
      <c r="A44" s="16" t="s">
        <v>97</v>
      </c>
    </row>
  </sheetData>
  <mergeCells count="3">
    <mergeCell ref="A1:H1"/>
    <mergeCell ref="A3:H3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4"/>
  </cols>
  <sheetData>
    <row r="1" customFormat="false" ht="21.7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/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</row>
    <row r="3" customFormat="false" ht="15" hidden="false" customHeight="true" outlineLevel="0" collapsed="false">
      <c r="A3" s="5" t="s">
        <v>99</v>
      </c>
      <c r="B3" s="5"/>
      <c r="C3" s="5"/>
      <c r="D3" s="5"/>
      <c r="E3" s="5"/>
      <c r="F3" s="5"/>
      <c r="G3" s="5"/>
      <c r="H3" s="5"/>
    </row>
    <row r="4" customFormat="false" ht="13.8" hidden="false" customHeight="false" outlineLevel="0" collapsed="false">
      <c r="A4" s="17" t="s">
        <v>52</v>
      </c>
      <c r="B4" s="18" t="n">
        <v>516822</v>
      </c>
      <c r="C4" s="18" t="n">
        <v>759563</v>
      </c>
      <c r="D4" s="18" t="n">
        <v>966091</v>
      </c>
      <c r="E4" s="19" t="n">
        <f aca="false">'Income Statement'!E20</f>
        <v>1081616.5674888</v>
      </c>
      <c r="F4" s="19" t="n">
        <f aca="false">'Income Statement'!F20</f>
        <v>1039567.7518534</v>
      </c>
      <c r="G4" s="19" t="n">
        <f aca="false">'Income Statement'!G20</f>
        <v>1143592.53626218</v>
      </c>
    </row>
    <row r="5" customFormat="false" ht="13.8" hidden="false" customHeight="false" outlineLevel="0" collapsed="false">
      <c r="A5" s="20" t="s">
        <v>100</v>
      </c>
      <c r="B5" s="21" t="n">
        <v>47858</v>
      </c>
      <c r="C5" s="21" t="n">
        <v>57587</v>
      </c>
      <c r="D5" s="21" t="n">
        <v>69353</v>
      </c>
      <c r="E5" s="19" t="n">
        <f aca="false">'Income Statement'!E23</f>
        <v>76778.4248</v>
      </c>
      <c r="F5" s="19" t="n">
        <f aca="false">'Income Statement'!F23</f>
        <v>83688.483032</v>
      </c>
      <c r="G5" s="19" t="n">
        <f aca="false">'Income Statement'!G23</f>
        <v>90383.56167456</v>
      </c>
    </row>
    <row r="6" customFormat="false" ht="13.8" hidden="false" customHeight="false" outlineLevel="0" collapsed="false">
      <c r="A6" s="20" t="s">
        <v>101</v>
      </c>
      <c r="B6" s="21" t="n">
        <v>26897</v>
      </c>
      <c r="C6" s="21" t="n">
        <v>37288</v>
      </c>
      <c r="D6" s="21" t="n">
        <v>37943</v>
      </c>
      <c r="E6" s="19" t="n">
        <f aca="false">'Cash Flow'!D6</f>
        <v>37943</v>
      </c>
      <c r="F6" s="19" t="n">
        <f aca="false">'Cash Flow'!D6</f>
        <v>37943</v>
      </c>
      <c r="G6" s="19" t="n">
        <f aca="false">'Cash Flow'!D6</f>
        <v>37943</v>
      </c>
    </row>
    <row r="7" customFormat="false" ht="13.8" hidden="false" customHeight="false" outlineLevel="0" collapsed="false">
      <c r="A7" s="20" t="s">
        <v>102</v>
      </c>
      <c r="B7" s="21" t="n">
        <v>3953</v>
      </c>
      <c r="C7" s="21" t="n">
        <v>6826</v>
      </c>
      <c r="D7" s="21" t="n">
        <v>9700</v>
      </c>
      <c r="E7" s="19" t="n">
        <f aca="false">0</f>
        <v>0</v>
      </c>
      <c r="F7" s="19" t="n">
        <f aca="false">0</f>
        <v>0</v>
      </c>
      <c r="G7" s="19" t="n">
        <f aca="false">0</f>
        <v>0</v>
      </c>
    </row>
    <row r="8" customFormat="false" ht="13.8" hidden="false" customHeight="false" outlineLevel="0" collapsed="false">
      <c r="A8" s="20" t="s">
        <v>103</v>
      </c>
      <c r="B8" s="21" t="n">
        <v>-5609</v>
      </c>
      <c r="C8" s="21" t="n">
        <v>-38490</v>
      </c>
      <c r="D8" s="21" t="n">
        <v>-41339</v>
      </c>
      <c r="E8" s="19" t="n">
        <f aca="false">-('Balance Sheet'!E6-'Balance Sheet'!D6)</f>
        <v>-42756.301369863</v>
      </c>
      <c r="F8" s="19" t="n">
        <f aca="false">-('Balance Sheet'!F6-'Balance Sheet'!E6)</f>
        <v>-33806.5471232877</v>
      </c>
      <c r="G8" s="19" t="n">
        <f aca="false">-('Balance Sheet'!G6-'Balance Sheet'!F6)</f>
        <v>-32754.7878794521</v>
      </c>
    </row>
    <row r="9" customFormat="false" ht="13.8" hidden="false" customHeight="false" outlineLevel="0" collapsed="false">
      <c r="A9" s="20" t="s">
        <v>104</v>
      </c>
      <c r="B9" s="21" t="n">
        <v>-26056</v>
      </c>
      <c r="C9" s="21" t="n">
        <v>58541</v>
      </c>
      <c r="D9" s="21" t="n">
        <v>-24344</v>
      </c>
      <c r="E9" s="19" t="n">
        <f aca="false">-('Balance Sheet'!E7-'Balance Sheet'!D7)</f>
        <v>-60102.8807452056</v>
      </c>
      <c r="F9" s="19" t="n">
        <f aca="false">-('Balance Sheet'!F7-'Balance Sheet'!E7)</f>
        <v>-64473.592903726</v>
      </c>
      <c r="G9" s="19" t="n">
        <f aca="false">-('Balance Sheet'!G7-'Balance Sheet'!F7)</f>
        <v>-37326.701171666</v>
      </c>
    </row>
    <row r="10" customFormat="false" ht="13.8" hidden="false" customHeight="false" outlineLevel="0" collapsed="false">
      <c r="A10" s="20" t="s">
        <v>105</v>
      </c>
      <c r="B10" s="21" t="n">
        <v>13459</v>
      </c>
      <c r="C10" s="21" t="n">
        <v>4157</v>
      </c>
      <c r="D10" s="21" t="n">
        <v>20946</v>
      </c>
      <c r="E10" s="19" t="n">
        <f aca="false">0</f>
        <v>0</v>
      </c>
      <c r="F10" s="19" t="n">
        <f aca="false">0</f>
        <v>0</v>
      </c>
      <c r="G10" s="19" t="n">
        <f aca="false">0</f>
        <v>0</v>
      </c>
    </row>
    <row r="11" customFormat="false" ht="13.8" hidden="false" customHeight="false" outlineLevel="0" collapsed="false">
      <c r="A11" s="20" t="s">
        <v>106</v>
      </c>
      <c r="B11" s="21" t="n">
        <v>-74247</v>
      </c>
      <c r="C11" s="21" t="n">
        <v>119601</v>
      </c>
      <c r="D11" s="21" t="n">
        <v>35636</v>
      </c>
      <c r="E11" s="19" t="n">
        <f aca="false">('Balance Sheet'!E22-'Balance Sheet'!D22)</f>
        <v>42715.5488000001</v>
      </c>
      <c r="F11" s="19" t="n">
        <f aca="false">('Balance Sheet'!F22-'Balance Sheet'!E22)</f>
        <v>59393.595756</v>
      </c>
      <c r="G11" s="19" t="n">
        <f aca="false">('Balance Sheet'!G22-'Balance Sheet'!F22)</f>
        <v>37731.550349856</v>
      </c>
    </row>
    <row r="12" customFormat="false" ht="13.8" hidden="false" customHeight="false" outlineLevel="0" collapsed="false">
      <c r="A12" s="20" t="s">
        <v>107</v>
      </c>
      <c r="B12" s="21" t="n">
        <v>11528</v>
      </c>
      <c r="C12" s="21" t="n">
        <v>43534</v>
      </c>
      <c r="D12" s="21" t="n">
        <v>22222</v>
      </c>
      <c r="E12" s="19" t="n">
        <f aca="false">0</f>
        <v>0</v>
      </c>
      <c r="F12" s="19" t="n">
        <f aca="false">0</f>
        <v>0</v>
      </c>
      <c r="G12" s="19" t="n">
        <f aca="false">0</f>
        <v>0</v>
      </c>
    </row>
    <row r="13" customFormat="false" ht="13.8" hidden="false" customHeight="false" outlineLevel="0" collapsed="false">
      <c r="A13" s="20" t="s">
        <v>108</v>
      </c>
      <c r="B13" s="21" t="n">
        <v>4897</v>
      </c>
      <c r="C13" s="21" t="n">
        <v>35016</v>
      </c>
      <c r="D13" s="21" t="n">
        <v>-29039</v>
      </c>
      <c r="E13" s="19" t="n">
        <f aca="false">0</f>
        <v>0</v>
      </c>
      <c r="F13" s="19" t="n">
        <f aca="false">0</f>
        <v>0</v>
      </c>
      <c r="G13" s="19" t="n">
        <f aca="false">0</f>
        <v>0</v>
      </c>
    </row>
    <row r="14" customFormat="false" ht="13.8" hidden="false" customHeight="false" outlineLevel="0" collapsed="false">
      <c r="A14" s="20" t="s">
        <v>109</v>
      </c>
      <c r="B14" s="21" t="n">
        <v>17920</v>
      </c>
      <c r="C14" s="21" t="n">
        <v>-50439</v>
      </c>
      <c r="D14" s="21" t="n">
        <v>-22646</v>
      </c>
      <c r="E14" s="19" t="n">
        <f aca="false">0</f>
        <v>0</v>
      </c>
      <c r="F14" s="19" t="n">
        <f aca="false">0</f>
        <v>0</v>
      </c>
      <c r="G14" s="19" t="n">
        <f aca="false">0</f>
        <v>0</v>
      </c>
    </row>
    <row r="15" customFormat="false" ht="13.8" hidden="false" customHeight="false" outlineLevel="0" collapsed="false">
      <c r="A15" s="17" t="s">
        <v>110</v>
      </c>
      <c r="B15" s="18" t="n">
        <v>537422</v>
      </c>
      <c r="C15" s="18" t="n">
        <v>1033184</v>
      </c>
      <c r="D15" s="18" t="n">
        <v>1044523</v>
      </c>
      <c r="E15" s="25" t="n">
        <f aca="false">SUM(E4:E14)</f>
        <v>1136194.35897373</v>
      </c>
      <c r="F15" s="25" t="n">
        <f aca="false">SUM(F4:F14)</f>
        <v>1122312.69061439</v>
      </c>
      <c r="G15" s="25" t="n">
        <f aca="false">SUM(G4:G14)</f>
        <v>1239569.15923547</v>
      </c>
    </row>
    <row r="16" customFormat="false" ht="15" hidden="false" customHeight="true" outlineLevel="0" collapsed="false">
      <c r="A16" s="5" t="s">
        <v>111</v>
      </c>
      <c r="B16" s="5"/>
      <c r="C16" s="5"/>
      <c r="D16" s="5"/>
      <c r="E16" s="5"/>
      <c r="F16" s="5"/>
      <c r="G16" s="5"/>
      <c r="H16" s="5"/>
    </row>
    <row r="17" customFormat="false" ht="13.8" hidden="false" customHeight="false" outlineLevel="0" collapsed="false">
      <c r="A17" s="20" t="s">
        <v>112</v>
      </c>
      <c r="B17" s="21" t="n">
        <v>-81025</v>
      </c>
      <c r="C17" s="21" t="n">
        <v>-89365</v>
      </c>
      <c r="D17" s="21" t="n">
        <v>-86171</v>
      </c>
      <c r="E17" s="19" t="n">
        <f aca="false">-'Income Statement'!E4*Assumptions!E18</f>
        <v>-109683.464</v>
      </c>
      <c r="F17" s="19" t="n">
        <f aca="false">-'Income Statement'!F4*Assumptions!F18</f>
        <v>-131510.473336</v>
      </c>
      <c r="G17" s="19" t="n">
        <f aca="false">-'Income Statement'!G4*Assumptions!G18</f>
        <v>-142031.31120288</v>
      </c>
    </row>
    <row r="18" customFormat="false" ht="13.8" hidden="false" customHeight="false" outlineLevel="0" collapsed="false">
      <c r="A18" s="20" t="s">
        <v>113</v>
      </c>
      <c r="B18" s="21" t="n">
        <v>12</v>
      </c>
      <c r="C18" s="21" t="n">
        <v>34</v>
      </c>
      <c r="D18" s="21" t="n">
        <v>11168</v>
      </c>
      <c r="E18" s="19" t="n">
        <f aca="false">0</f>
        <v>0</v>
      </c>
      <c r="F18" s="19" t="n">
        <f aca="false">0</f>
        <v>0</v>
      </c>
      <c r="G18" s="19" t="n">
        <f aca="false">0</f>
        <v>0</v>
      </c>
    </row>
    <row r="19" customFormat="false" ht="13.8" hidden="false" customHeight="false" outlineLevel="0" collapsed="false">
      <c r="A19" s="17" t="s">
        <v>114</v>
      </c>
      <c r="B19" s="18" t="n">
        <v>-81013</v>
      </c>
      <c r="C19" s="18" t="n">
        <v>-89331</v>
      </c>
      <c r="D19" s="18" t="n">
        <v>-75003</v>
      </c>
      <c r="E19" s="25" t="n">
        <f aca="false">E17+E18</f>
        <v>-109683.464</v>
      </c>
      <c r="F19" s="25" t="n">
        <f aca="false">F17+F18</f>
        <v>-131510.473336</v>
      </c>
      <c r="G19" s="25" t="n">
        <f aca="false">G17+G18</f>
        <v>-142031.31120288</v>
      </c>
    </row>
    <row r="20" customFormat="false" ht="15" hidden="false" customHeight="true" outlineLevel="0" collapsed="false">
      <c r="A20" s="5" t="s">
        <v>115</v>
      </c>
      <c r="B20" s="5"/>
      <c r="C20" s="5"/>
      <c r="D20" s="5"/>
      <c r="E20" s="5"/>
      <c r="F20" s="5"/>
      <c r="G20" s="5"/>
      <c r="H20" s="5"/>
    </row>
    <row r="21" customFormat="false" ht="13.8" hidden="false" customHeight="false" outlineLevel="0" collapsed="false">
      <c r="A21" s="20" t="s">
        <v>116</v>
      </c>
      <c r="B21" s="21" t="n">
        <v>-297372</v>
      </c>
      <c r="C21" s="21" t="n">
        <v>-414931</v>
      </c>
      <c r="D21" s="21" t="n">
        <v>-567002</v>
      </c>
      <c r="E21" s="19" t="n">
        <v>-1075000</v>
      </c>
      <c r="F21" s="19" t="n">
        <f aca="false">-0.8*F31</f>
        <v>-792641.773822709</v>
      </c>
      <c r="G21" s="19" t="n">
        <f aca="false">-0.8*G31</f>
        <v>-878030.278426075</v>
      </c>
    </row>
    <row r="22" customFormat="false" ht="13.8" hidden="false" customHeight="false" outlineLevel="0" collapsed="false">
      <c r="A22" s="20" t="s">
        <v>117</v>
      </c>
      <c r="B22" s="21" t="n">
        <v>6566</v>
      </c>
      <c r="C22" s="21" t="n">
        <v>7230</v>
      </c>
      <c r="D22" s="21" t="n">
        <v>4772</v>
      </c>
      <c r="E22" s="19" t="n">
        <f aca="false">0</f>
        <v>0</v>
      </c>
      <c r="F22" s="19" t="n">
        <f aca="false">0</f>
        <v>0</v>
      </c>
      <c r="G22" s="19" t="n">
        <f aca="false">0</f>
        <v>0</v>
      </c>
    </row>
    <row r="23" customFormat="false" ht="13.8" hidden="false" customHeight="false" outlineLevel="0" collapsed="false">
      <c r="A23" s="20" t="s">
        <v>118</v>
      </c>
      <c r="B23" s="21" t="n">
        <v>-18225</v>
      </c>
      <c r="C23" s="21" t="n">
        <v>-9974</v>
      </c>
      <c r="D23" s="21" t="n">
        <v>-3985</v>
      </c>
      <c r="E23" s="19" t="n">
        <f aca="false">0</f>
        <v>0</v>
      </c>
      <c r="F23" s="19" t="n">
        <f aca="false">0</f>
        <v>0</v>
      </c>
      <c r="G23" s="19" t="n">
        <f aca="false">0</f>
        <v>0</v>
      </c>
    </row>
    <row r="24" customFormat="false" ht="13.8" hidden="false" customHeight="false" outlineLevel="0" collapsed="false">
      <c r="A24" s="17" t="s">
        <v>119</v>
      </c>
      <c r="B24" s="18" t="n">
        <v>-309031</v>
      </c>
      <c r="C24" s="18" t="n">
        <v>-417675</v>
      </c>
      <c r="D24" s="18" t="n">
        <v>-581334</v>
      </c>
      <c r="E24" s="25" t="n">
        <f aca="false">E21+E22+E23</f>
        <v>-1075000</v>
      </c>
      <c r="F24" s="25" t="n">
        <f aca="false">F21+F22+F23</f>
        <v>-792641.773822709</v>
      </c>
      <c r="G24" s="25" t="n">
        <f aca="false">G21+G22+G23</f>
        <v>-878030.278426075</v>
      </c>
    </row>
    <row r="25" customFormat="false" ht="13.8" hidden="false" customHeight="false" outlineLevel="0" collapsed="false">
      <c r="A25" s="20" t="s">
        <v>120</v>
      </c>
      <c r="B25" s="21" t="n">
        <v>-9110</v>
      </c>
      <c r="C25" s="21" t="n">
        <v>-5922</v>
      </c>
      <c r="D25" s="21" t="n">
        <v>-1049</v>
      </c>
      <c r="E25" s="19" t="n">
        <f aca="false">0</f>
        <v>0</v>
      </c>
      <c r="F25" s="19" t="n">
        <f aca="false">0</f>
        <v>0</v>
      </c>
      <c r="G25" s="19" t="n">
        <f aca="false">0</f>
        <v>0</v>
      </c>
    </row>
    <row r="26" customFormat="false" ht="15" hidden="false" customHeight="true" outlineLevel="0" collapsed="false">
      <c r="A26" s="5" t="s">
        <v>121</v>
      </c>
      <c r="B26" s="5"/>
      <c r="C26" s="5"/>
      <c r="D26" s="5"/>
      <c r="E26" s="5"/>
      <c r="F26" s="5"/>
      <c r="G26" s="5"/>
      <c r="H26" s="5"/>
    </row>
    <row r="27" customFormat="false" ht="13.8" hidden="false" customHeight="false" outlineLevel="0" collapsed="false">
      <c r="A27" s="20" t="s">
        <v>122</v>
      </c>
      <c r="B27" s="21" t="n">
        <v>138268</v>
      </c>
      <c r="C27" s="21" t="n">
        <v>520256</v>
      </c>
      <c r="D27" s="21" t="n">
        <v>387137</v>
      </c>
      <c r="E27" s="25" t="n">
        <f aca="false">E15+E19+E24+E25</f>
        <v>-48489.1050262688</v>
      </c>
      <c r="F27" s="25" t="n">
        <f aca="false">F15+F19+F24+F25</f>
        <v>198160.443455677</v>
      </c>
      <c r="G27" s="25" t="n">
        <f aca="false">G15+G19+G24+G25</f>
        <v>219507.569606519</v>
      </c>
    </row>
    <row r="28" customFormat="false" ht="13.8" hidden="false" customHeight="false" outlineLevel="0" collapsed="false">
      <c r="A28" s="20" t="s">
        <v>123</v>
      </c>
      <c r="B28" s="21" t="n">
        <v>843527</v>
      </c>
      <c r="C28" s="21" t="n">
        <v>981795</v>
      </c>
      <c r="D28" s="21" t="n">
        <v>1502051</v>
      </c>
      <c r="E28" s="19" t="n">
        <f aca="false">D29</f>
        <v>1889188</v>
      </c>
      <c r="F28" s="19" t="n">
        <f aca="false">E29</f>
        <v>1840698.89497373</v>
      </c>
      <c r="G28" s="19" t="n">
        <f aca="false">F29</f>
        <v>2038859.33842941</v>
      </c>
    </row>
    <row r="29" customFormat="false" ht="13.8" hidden="false" customHeight="false" outlineLevel="0" collapsed="false">
      <c r="A29" s="17" t="s">
        <v>124</v>
      </c>
      <c r="B29" s="18" t="n">
        <v>981795</v>
      </c>
      <c r="C29" s="18" t="n">
        <v>1502051</v>
      </c>
      <c r="D29" s="18" t="n">
        <v>1889188</v>
      </c>
      <c r="E29" s="25" t="n">
        <f aca="false">E28+E27</f>
        <v>1840698.89497373</v>
      </c>
      <c r="F29" s="25" t="n">
        <f aca="false">F28+F27</f>
        <v>2038859.33842941</v>
      </c>
      <c r="G29" s="25" t="n">
        <f aca="false">G28+G27</f>
        <v>2258366.90803593</v>
      </c>
    </row>
    <row r="30" customFormat="false" ht="15" hidden="false" customHeight="true" outlineLevel="0" collapsed="false">
      <c r="A30" s="5" t="s">
        <v>125</v>
      </c>
      <c r="B30" s="5"/>
      <c r="C30" s="5"/>
      <c r="D30" s="5"/>
      <c r="E30" s="5"/>
      <c r="F30" s="5"/>
      <c r="G30" s="5"/>
      <c r="H30" s="5"/>
    </row>
    <row r="31" customFormat="false" ht="13.8" hidden="false" customHeight="false" outlineLevel="0" collapsed="false">
      <c r="A31" s="17" t="s">
        <v>126</v>
      </c>
      <c r="B31" s="18" t="n">
        <v>456397</v>
      </c>
      <c r="C31" s="18" t="n">
        <v>943819</v>
      </c>
      <c r="D31" s="18" t="n">
        <v>958352</v>
      </c>
      <c r="E31" s="25" t="n">
        <f aca="false">E15+E17</f>
        <v>1026510.89497373</v>
      </c>
      <c r="F31" s="25" t="n">
        <f aca="false">F15+F17</f>
        <v>990802.217278387</v>
      </c>
      <c r="G31" s="25" t="n">
        <f aca="false">G15+G17</f>
        <v>1097537.84803259</v>
      </c>
    </row>
    <row r="32" customFormat="false" ht="13.8" hidden="false" customHeight="false" outlineLevel="0" collapsed="false">
      <c r="A32" s="20" t="s">
        <v>127</v>
      </c>
      <c r="B32" s="30" t="n">
        <v>0.1258</v>
      </c>
      <c r="C32" s="30" t="n">
        <v>0.2201</v>
      </c>
      <c r="D32" s="30" t="n">
        <v>0.1922</v>
      </c>
      <c r="E32" s="24" t="n">
        <f aca="false">E31/'Income Statement'!E4</f>
        <v>0.187176964975091</v>
      </c>
      <c r="F32" s="24" t="n">
        <f aca="false">F31/'Income Statement'!F4</f>
        <v>0.165748386627984</v>
      </c>
      <c r="G32" s="24" t="n">
        <f aca="false">G31/'Income Statement'!G4</f>
        <v>0.170003589013036</v>
      </c>
    </row>
    <row r="33" customFormat="false" ht="13.8" hidden="false" customHeight="false" outlineLevel="0" collapsed="false">
      <c r="A33" s="20" t="s">
        <v>128</v>
      </c>
      <c r="B33" s="31" t="n">
        <v>0.883</v>
      </c>
      <c r="C33" s="31" t="n">
        <v>1.243</v>
      </c>
      <c r="D33" s="31" t="n">
        <v>0.992</v>
      </c>
      <c r="E33" s="32" t="n">
        <f aca="false">E31/'Income Statement'!E20</f>
        <v>0.949052488495985</v>
      </c>
      <c r="F33" s="32" t="n">
        <f aca="false">F31/'Income Statement'!F20</f>
        <v>0.95309056625884</v>
      </c>
      <c r="G33" s="32" t="n">
        <f aca="false">G31/'Income Statement'!G20</f>
        <v>0.959728061552315</v>
      </c>
    </row>
    <row r="34" customFormat="false" ht="13.8" hidden="false" customHeight="false" outlineLevel="0" collapsed="false"/>
    <row r="35" customFormat="false" ht="13.8" hidden="false" customHeight="false" outlineLevel="0" collapsed="false">
      <c r="A35" s="16" t="s">
        <v>129</v>
      </c>
    </row>
  </sheetData>
  <mergeCells count="6">
    <mergeCell ref="A1:H1"/>
    <mergeCell ref="A3:H3"/>
    <mergeCell ref="A16:H16"/>
    <mergeCell ref="A20:H20"/>
    <mergeCell ref="A26:H26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5"/>
  </cols>
  <sheetData>
    <row r="1" customFormat="false" ht="21.7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33"/>
      <c r="B2" s="34" t="s">
        <v>4</v>
      </c>
      <c r="C2" s="34" t="s">
        <v>5</v>
      </c>
      <c r="D2" s="34" t="s">
        <v>6</v>
      </c>
    </row>
    <row r="3" customFormat="false" ht="15" hidden="false" customHeight="true" outlineLevel="0" collapsed="false">
      <c r="A3" s="5" t="s">
        <v>131</v>
      </c>
      <c r="B3" s="5"/>
      <c r="C3" s="5"/>
      <c r="D3" s="5"/>
      <c r="E3" s="5"/>
      <c r="F3" s="5"/>
      <c r="G3" s="5"/>
      <c r="H3" s="5"/>
    </row>
    <row r="4" customFormat="false" ht="13.8" hidden="false" customHeight="false" outlineLevel="0" collapsed="false">
      <c r="A4" s="20" t="s">
        <v>132</v>
      </c>
      <c r="B4" s="19" t="n">
        <f aca="false">'Income Statement'!E4</f>
        <v>5484173.2</v>
      </c>
      <c r="C4" s="19" t="n">
        <f aca="false">'Income Statement'!F4</f>
        <v>5977748.788</v>
      </c>
      <c r="D4" s="19" t="n">
        <f aca="false">'Income Statement'!G4</f>
        <v>6455968.69104</v>
      </c>
    </row>
    <row r="5" customFormat="false" ht="13.8" hidden="false" customHeight="false" outlineLevel="0" collapsed="false">
      <c r="A5" s="20" t="s">
        <v>133</v>
      </c>
      <c r="B5" s="19" t="n">
        <f aca="false">'Income Statement'!E12</f>
        <v>1327169.9144</v>
      </c>
      <c r="C5" s="19" t="n">
        <f aca="false">'Income Statement'!F12</f>
        <v>1285215.98942</v>
      </c>
      <c r="D5" s="19" t="n">
        <f aca="false">'Income Statement'!G12</f>
        <v>1420313.1120288</v>
      </c>
    </row>
    <row r="6" customFormat="false" ht="13.8" hidden="false" customHeight="false" outlineLevel="0" collapsed="false">
      <c r="A6" s="20" t="s">
        <v>134</v>
      </c>
      <c r="B6" s="24" t="n">
        <f aca="false">Assumptions!E12</f>
        <v>0.223</v>
      </c>
      <c r="C6" s="24" t="n">
        <f aca="false">Assumptions!F12</f>
        <v>0.23</v>
      </c>
      <c r="D6" s="24" t="n">
        <f aca="false">Assumptions!G12</f>
        <v>0.23</v>
      </c>
    </row>
    <row r="7" customFormat="false" ht="13.8" hidden="false" customHeight="false" outlineLevel="0" collapsed="false">
      <c r="A7" s="35" t="s">
        <v>135</v>
      </c>
      <c r="B7" s="25" t="n">
        <f aca="false">B5*(1-B6)</f>
        <v>1031211.0234888</v>
      </c>
      <c r="C7" s="25" t="n">
        <f aca="false">C5*(1-C6)</f>
        <v>989616.3118534</v>
      </c>
      <c r="D7" s="25" t="n">
        <f aca="false">D5*(1-D6)</f>
        <v>1093641.09626218</v>
      </c>
    </row>
    <row r="8" customFormat="false" ht="13.8" hidden="false" customHeight="false" outlineLevel="0" collapsed="false">
      <c r="A8" s="20" t="s">
        <v>136</v>
      </c>
      <c r="B8" s="19" t="n">
        <f aca="false">'Income Statement'!E23</f>
        <v>76778.4248</v>
      </c>
      <c r="C8" s="19" t="n">
        <f aca="false">'Income Statement'!F23</f>
        <v>83688.483032</v>
      </c>
      <c r="D8" s="19" t="n">
        <f aca="false">'Income Statement'!G23</f>
        <v>90383.56167456</v>
      </c>
    </row>
    <row r="9" customFormat="false" ht="13.8" hidden="false" customHeight="false" outlineLevel="0" collapsed="false">
      <c r="A9" s="20" t="s">
        <v>137</v>
      </c>
      <c r="B9" s="19" t="n">
        <f aca="false">'Cash Flow'!E17</f>
        <v>-109683.464</v>
      </c>
      <c r="C9" s="19" t="n">
        <f aca="false">'Cash Flow'!F17</f>
        <v>-131510.473336</v>
      </c>
      <c r="D9" s="19" t="n">
        <f aca="false">'Cash Flow'!G17</f>
        <v>-142031.31120288</v>
      </c>
    </row>
    <row r="10" customFormat="false" ht="13.8" hidden="false" customHeight="false" outlineLevel="0" collapsed="false">
      <c r="A10" s="20" t="s">
        <v>138</v>
      </c>
      <c r="B10" s="19" t="n">
        <f aca="false">-(('Balance Sheet'!E6+'Balance Sheet'!E7-'Balance Sheet'!E22)-('Balance Sheet'!D6+'Balance Sheet'!D7-'Balance Sheet'!D22))</f>
        <v>-60143.6333150684</v>
      </c>
      <c r="C10" s="19" t="n">
        <f aca="false">-(('Balance Sheet'!F6+'Balance Sheet'!F7-'Balance Sheet'!F22)-('Balance Sheet'!E6+'Balance Sheet'!E7-'Balance Sheet'!E22))</f>
        <v>-38886.5442710137</v>
      </c>
      <c r="D10" s="19" t="n">
        <f aca="false">-(('Balance Sheet'!G6+'Balance Sheet'!G7-'Balance Sheet'!G22)-('Balance Sheet'!F6+'Balance Sheet'!F7-'Balance Sheet'!F22))</f>
        <v>-32349.938701262</v>
      </c>
    </row>
    <row r="11" customFormat="false" ht="13.8" hidden="false" customHeight="false" outlineLevel="0" collapsed="false">
      <c r="A11" s="36" t="s">
        <v>139</v>
      </c>
      <c r="B11" s="25" t="n">
        <f aca="false">B7+B8+B9+B10</f>
        <v>938162.350973731</v>
      </c>
      <c r="C11" s="25" t="n">
        <f aca="false">C7+C8+C9+C10</f>
        <v>902907.777278387</v>
      </c>
      <c r="D11" s="25" t="n">
        <f aca="false">D7+D8+D9+D10</f>
        <v>1009643.40803259</v>
      </c>
    </row>
    <row r="12" customFormat="false" ht="13.8" hidden="false" customHeight="false" outlineLevel="0" collapsed="false">
      <c r="A12" s="20" t="s">
        <v>140</v>
      </c>
      <c r="B12" s="37" t="n">
        <f aca="false">1</f>
        <v>1</v>
      </c>
      <c r="C12" s="37" t="n">
        <f aca="false">2</f>
        <v>2</v>
      </c>
      <c r="D12" s="37" t="n">
        <f aca="false">3</f>
        <v>3</v>
      </c>
    </row>
    <row r="13" customFormat="false" ht="13.8" hidden="false" customHeight="false" outlineLevel="0" collapsed="false">
      <c r="A13" s="20" t="s">
        <v>141</v>
      </c>
      <c r="B13" s="38" t="n">
        <f aca="false">1/(1+Assumptions!$E$21)^B12</f>
        <v>0.909090909090909</v>
      </c>
      <c r="C13" s="38" t="n">
        <f aca="false">1/(1+Assumptions!$E$21)^C12</f>
        <v>0.826446280991735</v>
      </c>
      <c r="D13" s="38" t="n">
        <f aca="false">1/(1+Assumptions!$E$21)^D12</f>
        <v>0.751314800901578</v>
      </c>
    </row>
    <row r="14" customFormat="false" ht="13.8" hidden="false" customHeight="false" outlineLevel="0" collapsed="false">
      <c r="A14" s="35" t="s">
        <v>142</v>
      </c>
      <c r="B14" s="25" t="n">
        <f aca="false">B11*B13</f>
        <v>852874.864521574</v>
      </c>
      <c r="C14" s="25" t="n">
        <f aca="false">C11*C13</f>
        <v>746204.774610237</v>
      </c>
      <c r="D14" s="25" t="n">
        <f aca="false">D11*D13</f>
        <v>758560.036087599</v>
      </c>
    </row>
    <row r="15" customFormat="false" ht="15" hidden="false" customHeight="true" outlineLevel="0" collapsed="false">
      <c r="A15" s="5" t="s">
        <v>143</v>
      </c>
      <c r="B15" s="5"/>
      <c r="C15" s="5"/>
      <c r="D15" s="5"/>
      <c r="E15" s="5"/>
      <c r="F15" s="5"/>
      <c r="G15" s="5"/>
      <c r="H15" s="5"/>
    </row>
    <row r="16" customFormat="false" ht="13.8" hidden="false" customHeight="false" outlineLevel="0" collapsed="false">
      <c r="A16" s="20" t="s">
        <v>144</v>
      </c>
      <c r="B16" s="25" t="n">
        <f aca="false">SUM(B14:D14)</f>
        <v>2357639.67521941</v>
      </c>
    </row>
    <row r="17" customFormat="false" ht="13.8" hidden="false" customHeight="false" outlineLevel="0" collapsed="false">
      <c r="A17" s="20" t="s">
        <v>145</v>
      </c>
      <c r="B17" s="25" t="n">
        <f aca="false">D11</f>
        <v>1009643.40803259</v>
      </c>
    </row>
    <row r="18" customFormat="false" ht="13.8" hidden="false" customHeight="false" outlineLevel="0" collapsed="false">
      <c r="A18" s="20" t="s">
        <v>146</v>
      </c>
      <c r="B18" s="25" t="n">
        <f aca="false">B17*(1+Assumptions!E22)/(Assumptions!E21-Assumptions!E22)</f>
        <v>14856181.5753367</v>
      </c>
    </row>
    <row r="19" customFormat="false" ht="13.8" hidden="false" customHeight="false" outlineLevel="0" collapsed="false">
      <c r="A19" s="20" t="s">
        <v>147</v>
      </c>
      <c r="B19" s="25" t="n">
        <f aca="false">B18*D13</f>
        <v>11161669.1024318</v>
      </c>
    </row>
    <row r="20" customFormat="false" ht="13.8" hidden="false" customHeight="false" outlineLevel="0" collapsed="false">
      <c r="A20" s="35" t="s">
        <v>148</v>
      </c>
      <c r="B20" s="39" t="n">
        <f aca="false">B16+B19</f>
        <v>13519308.7776512</v>
      </c>
    </row>
    <row r="21" customFormat="false" ht="13.8" hidden="false" customHeight="false" outlineLevel="0" collapsed="false"/>
    <row r="22" customFormat="false" ht="15" hidden="false" customHeight="true" outlineLevel="0" collapsed="false">
      <c r="A22" s="5" t="s">
        <v>149</v>
      </c>
      <c r="B22" s="5"/>
      <c r="C22" s="5"/>
      <c r="D22" s="5"/>
      <c r="E22" s="5"/>
      <c r="F22" s="5"/>
      <c r="G22" s="5"/>
      <c r="H22" s="5"/>
    </row>
    <row r="23" customFormat="false" ht="13.8" hidden="false" customHeight="false" outlineLevel="0" collapsed="false">
      <c r="A23" s="35" t="s">
        <v>148</v>
      </c>
      <c r="B23" s="25" t="n">
        <f aca="false">B20</f>
        <v>13519308.7776512</v>
      </c>
    </row>
    <row r="24" customFormat="false" ht="13.8" hidden="false" customHeight="false" outlineLevel="0" collapsed="false">
      <c r="A24" s="20" t="s">
        <v>150</v>
      </c>
      <c r="B24" s="40" t="n">
        <f aca="false">'Balance Sheet'!D5</f>
        <v>1889188</v>
      </c>
    </row>
    <row r="25" customFormat="false" ht="13.8" hidden="false" customHeight="false" outlineLevel="0" collapsed="false">
      <c r="A25" s="20" t="s">
        <v>151</v>
      </c>
      <c r="B25" s="40" t="n">
        <f aca="false">0</f>
        <v>0</v>
      </c>
    </row>
    <row r="26" customFormat="false" ht="13.8" hidden="false" customHeight="false" outlineLevel="0" collapsed="false">
      <c r="A26" s="20" t="s">
        <v>152</v>
      </c>
      <c r="B26" s="40" t="n">
        <f aca="false">0</f>
        <v>0</v>
      </c>
    </row>
    <row r="27" customFormat="false" ht="13.8" hidden="false" customHeight="false" outlineLevel="0" collapsed="false">
      <c r="A27" s="36" t="s">
        <v>153</v>
      </c>
      <c r="B27" s="39" t="n">
        <f aca="false">B23+B24-B25-B26</f>
        <v>15408496.7776512</v>
      </c>
    </row>
    <row r="28" customFormat="false" ht="13.8" hidden="false" customHeight="false" outlineLevel="0" collapsed="false">
      <c r="A28" s="20" t="s">
        <v>27</v>
      </c>
      <c r="B28" s="40" t="n">
        <f aca="false">Assumptions!E23</f>
        <v>141502</v>
      </c>
    </row>
    <row r="29" customFormat="false" ht="13.8" hidden="false" customHeight="false" outlineLevel="0" collapsed="false">
      <c r="A29" s="35" t="s">
        <v>154</v>
      </c>
      <c r="B29" s="41" t="n">
        <f aca="false">B27/B28</f>
        <v>108.892431044446</v>
      </c>
    </row>
    <row r="30" customFormat="false" ht="13.8" hidden="false" customHeight="false" outlineLevel="0" collapsed="false">
      <c r="A30" s="20" t="s">
        <v>155</v>
      </c>
      <c r="B30" s="42" t="n">
        <v>109</v>
      </c>
    </row>
    <row r="31" customFormat="false" ht="13.8" hidden="false" customHeight="false" outlineLevel="0" collapsed="false">
      <c r="A31" s="35" t="s">
        <v>156</v>
      </c>
      <c r="B31" s="43" t="n">
        <f aca="false">B29/B30-1</f>
        <v>-0.00098687115187035</v>
      </c>
    </row>
    <row r="32" customFormat="false" ht="15" hidden="false" customHeight="true" outlineLevel="0" collapsed="false">
      <c r="A32" s="5" t="s">
        <v>157</v>
      </c>
      <c r="B32" s="5"/>
      <c r="C32" s="5"/>
      <c r="D32" s="5"/>
      <c r="E32" s="5"/>
      <c r="F32" s="5"/>
      <c r="G32" s="5"/>
      <c r="H32" s="5"/>
    </row>
    <row r="33" customFormat="false" ht="13.8" hidden="false" customHeight="false" outlineLevel="0" collapsed="false">
      <c r="A33" s="44" t="s">
        <v>158</v>
      </c>
      <c r="C33" s="45" t="n">
        <v>0.02</v>
      </c>
      <c r="D33" s="45" t="n">
        <v>0.025</v>
      </c>
      <c r="E33" s="45" t="n">
        <v>0.03</v>
      </c>
      <c r="F33" s="45" t="n">
        <v>0.035</v>
      </c>
      <c r="G33" s="45" t="n">
        <v>0.04</v>
      </c>
    </row>
    <row r="34" customFormat="false" ht="13.8" hidden="false" customHeight="false" outlineLevel="0" collapsed="false">
      <c r="A34" s="46" t="s">
        <v>159</v>
      </c>
      <c r="B34" s="45" t="n">
        <v>0.09</v>
      </c>
      <c r="C34" s="47" t="n">
        <f aca="false">(($B$11/(1+$B$34)^1+$C$11/(1+$B$34)^2+$D$11/(1+$B$34)^3)+($D$11*(1+C$33)/($B$34-C$33))/(1+$B$34)^3+$B$24)/$B$28</f>
        <v>110.59772340693</v>
      </c>
      <c r="D34" s="47" t="n">
        <f aca="false">(($B$11/(1+$B$34)^1+$C$11/(1+$B$34)^2+$D$11/(1+$B$34)^3)+($D$11*(1+D$33)/($B$34-D$33))/(1+$B$34)^3+$B$24)/$B$28</f>
        <v>117.197223626586</v>
      </c>
      <c r="E34" s="47" t="n">
        <f aca="false">(($B$11/(1+$B$34)^1+$C$11/(1+$B$34)^2+$D$11/(1+$B$34)^3)+($D$11*(1+E$33)/($B$34-E$33))/(1+$B$34)^3+$B$24)/$B$28</f>
        <v>124.896640549519</v>
      </c>
      <c r="F34" s="47" t="n">
        <f aca="false">(($B$11/(1+$B$34)^1+$C$11/(1+$B$34)^2+$D$11/(1+$B$34)^3)+($D$11*(1+F$33)/($B$34-F$33))/(1+$B$34)^3+$B$24)/$B$28</f>
        <v>133.99595145844</v>
      </c>
      <c r="G34" s="47" t="n">
        <f aca="false">(($B$11/(1+$B$34)^1+$C$11/(1+$B$34)^2+$D$11/(1+$B$34)^3)+($D$11*(1+G$33)/($B$34-G$33))/(1+$B$34)^3+$B$24)/$B$28</f>
        <v>144.915124549145</v>
      </c>
    </row>
    <row r="35" customFormat="false" ht="13.8" hidden="false" customHeight="false" outlineLevel="0" collapsed="false">
      <c r="B35" s="45" t="n">
        <v>0.095</v>
      </c>
      <c r="C35" s="47" t="n">
        <f aca="false">(($B$11/(1+$B$35)^1+$C$11/(1+$B$35)^2+$D$11/(1+$B$35)^3)+($D$11*(1+C$33)/($B$35-C$33))/(1+$B$35)^3+$B$24)/$B$28</f>
        <v>104.071847721983</v>
      </c>
      <c r="D35" s="47" t="n">
        <f aca="false">(($B$11/(1+$B$35)^1+$C$11/(1+$B$35)^2+$D$11/(1+$B$35)^3)+($D$11*(1+D$33)/($B$35-D$33))/(1+$B$35)^3+$B$24)/$B$28</f>
        <v>109.739300346278</v>
      </c>
      <c r="E35" s="47" t="n">
        <f aca="false">(($B$11/(1+$B$35)^1+$C$11/(1+$B$35)^2+$D$11/(1+$B$35)^3)+($D$11*(1+E$33)/($B$35-E$33))/(1+$B$35)^3+$B$24)/$B$28</f>
        <v>116.278668758925</v>
      </c>
      <c r="F35" s="47" t="n">
        <f aca="false">(($B$11/(1+$B$35)^1+$C$11/(1+$B$35)^2+$D$11/(1+$B$35)^3)+($D$11*(1+F$33)/($B$35-F$33))/(1+$B$35)^3+$B$24)/$B$28</f>
        <v>123.907931907013</v>
      </c>
      <c r="G35" s="47" t="n">
        <f aca="false">(($B$11/(1+$B$35)^1+$C$11/(1+$B$35)^2+$D$11/(1+$B$35)^3)+($D$11*(1+G$33)/($B$35-G$33))/(1+$B$35)^3+$B$24)/$B$28</f>
        <v>132.924333809299</v>
      </c>
    </row>
    <row r="36" customFormat="false" ht="13.8" hidden="false" customHeight="false" outlineLevel="0" collapsed="false">
      <c r="B36" s="45" t="n">
        <v>0.1</v>
      </c>
      <c r="C36" s="47" t="n">
        <f aca="false">(($B$11/(1+$B$36)^1+$C$11/(1+$B$36)^2+$D$11/(1+$B$36)^3)+($D$11*(1+C$33)/($B$36-C$33))/(1+$B$36)^3+$B$24)/$B$28</f>
        <v>98.3623421247494</v>
      </c>
      <c r="D36" s="47" t="n">
        <f aca="false">(($B$11/(1+$B$36)^1+$C$11/(1+$B$36)^2+$D$11/(1+$B$36)^3)+($D$11*(1+D$33)/($B$36-D$33))/(1+$B$36)^3+$B$24)/$B$28</f>
        <v>103.276383620608</v>
      </c>
      <c r="E36" s="47" t="n">
        <f aca="false">(($B$11/(1+$B$36)^1+$C$11/(1+$B$36)^2+$D$11/(1+$B$36)^3)+($D$11*(1+E$33)/($B$36-E$33))/(1+$B$36)^3+$B$24)/$B$28</f>
        <v>108.892431044446</v>
      </c>
      <c r="F36" s="47" t="n">
        <f aca="false">(($B$11/(1+$B$36)^1+$C$11/(1+$B$36)^2+$D$11/(1+$B$36)^3)+($D$11*(1+F$33)/($B$36-F$33))/(1+$B$36)^3+$B$24)/$B$28</f>
        <v>115.37248576426</v>
      </c>
      <c r="G36" s="47" t="n">
        <f aca="false">(($B$11/(1+$B$36)^1+$C$11/(1+$B$36)^2+$D$11/(1+$B$36)^3)+($D$11*(1+G$33)/($B$36-G$33))/(1+$B$36)^3+$B$24)/$B$28</f>
        <v>122.932549604042</v>
      </c>
    </row>
    <row r="37" customFormat="false" ht="13.8" hidden="false" customHeight="false" outlineLevel="0" collapsed="false">
      <c r="B37" s="45" t="n">
        <v>0.105</v>
      </c>
      <c r="C37" s="47" t="n">
        <f aca="false">(($B$11/(1+$B$37)^1+$C$11/(1+$B$37)^2+$D$11/(1+$B$37)^3)+($D$11*(1+C$33)/($B$37-C$33))/(1+$B$37)^3+$B$24)/$B$28</f>
        <v>93.3251297354296</v>
      </c>
      <c r="D37" s="47" t="n">
        <f aca="false">(($B$11/(1+$B$37)^1+$C$11/(1+$B$37)^2+$D$11/(1+$B$37)^3)+($D$11*(1+D$33)/($B$37-D$33))/(1+$B$37)^3+$B$24)/$B$28</f>
        <v>97.6218983929019</v>
      </c>
      <c r="E37" s="47" t="n">
        <f aca="false">(($B$11/(1+$B$37)^1+$C$11/(1+$B$37)^2+$D$11/(1+$B$37)^3)+($D$11*(1+E$33)/($B$37-E$33))/(1+$B$37)^3+$B$24)/$B$28</f>
        <v>102.491569538037</v>
      </c>
      <c r="F37" s="47" t="n">
        <f aca="false">(($B$11/(1+$B$37)^1+$C$11/(1+$B$37)^2+$D$11/(1+$B$37)^3)+($D$11*(1+F$33)/($B$37-F$33))/(1+$B$37)^3+$B$24)/$B$28</f>
        <v>108.05690798962</v>
      </c>
      <c r="G37" s="47" t="n">
        <f aca="false">(($B$11/(1+$B$37)^1+$C$11/(1+$B$37)^2+$D$11/(1+$B$37)^3)+($D$11*(1+G$33)/($B$37-G$33))/(1+$B$37)^3+$B$24)/$B$28</f>
        <v>114.478452356832</v>
      </c>
    </row>
    <row r="38" customFormat="false" ht="13.8" hidden="false" customHeight="false" outlineLevel="0" collapsed="false">
      <c r="B38" s="45" t="n">
        <v>0.11</v>
      </c>
      <c r="C38" s="47" t="n">
        <f aca="false">(($B$11/(1+$B$38)^1+$C$11/(1+$B$38)^2+$D$11/(1+$B$38)^3)+($D$11*(1+C$33)/($B$38-C$33))/(1+$B$38)^3+$B$24)/$B$28</f>
        <v>88.848151013949</v>
      </c>
      <c r="D38" s="47" t="n">
        <f aca="false">(($B$11/(1+$B$38)^1+$C$11/(1+$B$38)^2+$D$11/(1+$B$38)^3)+($D$11*(1+D$33)/($B$38-D$33))/(1+$B$38)^3+$B$24)/$B$28</f>
        <v>92.6331698706363</v>
      </c>
      <c r="E38" s="47" t="n">
        <f aca="false">(($B$11/(1+$B$38)^1+$C$11/(1+$B$38)^2+$D$11/(1+$B$38)^3)+($D$11*(1+E$33)/($B$38-E$33))/(1+$B$38)^3+$B$24)/$B$28</f>
        <v>96.8913160844096</v>
      </c>
      <c r="F38" s="47" t="n">
        <f aca="false">(($B$11/(1+$B$38)^1+$C$11/(1+$B$38)^2+$D$11/(1+$B$38)^3)+($D$11*(1+F$33)/($B$38-F$33))/(1+$B$38)^3+$B$24)/$B$28</f>
        <v>101.717215126686</v>
      </c>
      <c r="G38" s="47" t="n">
        <f aca="false">(($B$11/(1+$B$38)^1+$C$11/(1+$B$38)^2+$D$11/(1+$B$38)^3)+($D$11*(1+G$33)/($B$38-G$33))/(1+$B$38)^3+$B$24)/$B$28</f>
        <v>107.232528317859</v>
      </c>
    </row>
    <row r="39" customFormat="false" ht="13.8" hidden="false" customHeight="false" outlineLevel="0" collapsed="false">
      <c r="B39" s="45" t="n">
        <v>0.115</v>
      </c>
      <c r="C39" s="47" t="n">
        <f aca="false">(($B$11/(1+$B$39)^1+$C$11/(1+$B$39)^2+$D$11/(1+$B$39)^3)+($D$11*(1+C$33)/($B$39-C$33))/(1+$B$39)^3+$B$24)/$B$28</f>
        <v>84.8429381375796</v>
      </c>
      <c r="D39" s="47" t="n">
        <f aca="false">(($B$11/(1+$B$39)^1+$C$11/(1+$B$39)^2+$D$11/(1+$B$39)^3)+($D$11*(1+D$33)/($B$39-D$33))/(1+$B$39)^3+$B$24)/$B$28</f>
        <v>88.199229001071</v>
      </c>
      <c r="E39" s="47" t="n">
        <f aca="false">(($B$11/(1+$B$39)^1+$C$11/(1+$B$39)^2+$D$11/(1+$B$39)^3)+($D$11*(1+E$33)/($B$39-E$33))/(1+$B$39)^3+$B$24)/$B$28</f>
        <v>91.9503776132084</v>
      </c>
      <c r="F39" s="47" t="n">
        <f aca="false">(($B$11/(1+$B$39)^1+$C$11/(1+$B$39)^2+$D$11/(1+$B$39)^3)+($D$11*(1+F$33)/($B$39-F$33))/(1+$B$39)^3+$B$24)/$B$28</f>
        <v>96.1704198018629</v>
      </c>
      <c r="G39" s="47" t="n">
        <f aca="false">(($B$11/(1+$B$39)^1+$C$11/(1+$B$39)^2+$D$11/(1+$B$39)^3)+($D$11*(1+G$33)/($B$39-G$33))/(1+$B$39)^3+$B$24)/$B$28</f>
        <v>100.953134282338</v>
      </c>
    </row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>
      <c r="A42" s="16" t="s">
        <v>160</v>
      </c>
    </row>
  </sheetData>
  <mergeCells count="5">
    <mergeCell ref="A1:H1"/>
    <mergeCell ref="A3:H3"/>
    <mergeCell ref="A15:H15"/>
    <mergeCell ref="A22:H22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2026-06-21T00:30:09Z</dcterms:created>
  <dc:creator>openpyxl</dc:creator>
  <dc:description/>
  <dc:language>en-US</dc:language>
  <cp:lastModifiedBy/>
  <dcterms:modified xsi:type="dcterms:W3CDTF">2026-06-21T09:47:53Z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